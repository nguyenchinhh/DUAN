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DA MENTOR\Project Cuối khoá\"/>
    </mc:Choice>
  </mc:AlternateContent>
  <xr:revisionPtr revIDLastSave="0" documentId="13_ncr:1_{C13D81DB-86ED-4BDC-8D9A-71C2D810D345}" xr6:coauthVersionLast="47" xr6:coauthVersionMax="47" xr10:uidLastSave="{00000000-0000-0000-0000-000000000000}"/>
  <bookViews>
    <workbookView xWindow="-108" yWindow="-108" windowWidth="23256" windowHeight="12456" activeTab="1" xr2:uid="{00000000-000D-0000-FFFF-FFFF00000000}"/>
  </bookViews>
  <sheets>
    <sheet name="BaocaoTonghop_T2" sheetId="1" r:id="rId1"/>
    <sheet name="BaocaoXepHangASM_T2" sheetId="2" r:id="rId2"/>
    <sheet name="KPI_ASM_DATA" sheetId="3" state="hidden" r:id="rId3"/>
    <sheet name="Param" sheetId="4" r:id="rId4"/>
    <sheet name="Mô Tả NV" sheetId="5" r:id="rId5"/>
    <sheet name="Từ Viết Tắt" sheetId="6" r:id="rId6"/>
  </sheets>
  <definedNames>
    <definedName name="_xlnm._FilterDatabase" localSheetId="2" hidden="1">KPI_ASM_DATA!$D$1:$D$86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qRh1E86osOolGJFxTftUr2rWxb8AQ25dW+20SAlEsTY="/>
    </ext>
  </extLst>
</workbook>
</file>

<file path=xl/calcChain.xml><?xml version="1.0" encoding="utf-8"?>
<calcChain xmlns="http://schemas.openxmlformats.org/spreadsheetml/2006/main">
  <c r="I23" i="1" l="1"/>
  <c r="A4" i="5"/>
  <c r="A5" i="5" s="1"/>
  <c r="A6" i="5" s="1"/>
  <c r="A7" i="5" s="1"/>
  <c r="A8" i="5" s="1"/>
  <c r="A9" i="5" s="1"/>
  <c r="A10" i="5" s="1"/>
  <c r="A11" i="5" s="1"/>
  <c r="A12" i="5" s="1"/>
  <c r="A13" i="5" s="1"/>
  <c r="A19" i="5" s="1"/>
  <c r="A23" i="5" s="1"/>
  <c r="A27" i="5" s="1"/>
  <c r="A28" i="5" s="1"/>
  <c r="A33" i="5" s="1"/>
  <c r="A34" i="5" s="1"/>
  <c r="A36" i="5" s="1"/>
  <c r="A37" i="5" s="1"/>
  <c r="A38" i="5" s="1"/>
  <c r="A39" i="5" s="1"/>
  <c r="A40" i="5" s="1"/>
  <c r="A41" i="5" s="1"/>
  <c r="A42" i="5" s="1"/>
  <c r="A43" i="5" s="1"/>
  <c r="A44" i="5" s="1"/>
  <c r="A45" i="5" s="1"/>
  <c r="Y76" i="2"/>
  <c r="O76" i="2"/>
  <c r="E76" i="2" s="1"/>
  <c r="Y75" i="2"/>
  <c r="O75" i="2"/>
  <c r="E75" i="2" s="1"/>
  <c r="Y74" i="2"/>
  <c r="O74" i="2"/>
  <c r="E74" i="2" s="1"/>
  <c r="Y73" i="2"/>
  <c r="O73" i="2"/>
  <c r="E73" i="2"/>
  <c r="Y72" i="2"/>
  <c r="O72" i="2"/>
  <c r="E72" i="2" s="1"/>
  <c r="Y71" i="2"/>
  <c r="O71" i="2"/>
  <c r="E71" i="2" s="1"/>
  <c r="Y70" i="2"/>
  <c r="O70" i="2"/>
  <c r="E70" i="2" s="1"/>
  <c r="Y69" i="2"/>
  <c r="O69" i="2"/>
  <c r="E69" i="2"/>
  <c r="Y68" i="2"/>
  <c r="O68" i="2"/>
  <c r="E68" i="2" s="1"/>
  <c r="Y67" i="2"/>
  <c r="O67" i="2"/>
  <c r="E67" i="2" s="1"/>
  <c r="Y66" i="2"/>
  <c r="O66" i="2"/>
  <c r="E66" i="2" s="1"/>
  <c r="Y65" i="2"/>
  <c r="O65" i="2"/>
  <c r="E65" i="2"/>
  <c r="Y64" i="2"/>
  <c r="O64" i="2"/>
  <c r="E64" i="2" s="1"/>
  <c r="Y63" i="2"/>
  <c r="O63" i="2"/>
  <c r="E63" i="2" s="1"/>
  <c r="Y62" i="2"/>
  <c r="O62" i="2"/>
  <c r="E62" i="2" s="1"/>
  <c r="Y61" i="2"/>
  <c r="O61" i="2"/>
  <c r="E61" i="2"/>
  <c r="Y60" i="2"/>
  <c r="O60" i="2"/>
  <c r="E60" i="2" s="1"/>
  <c r="Y59" i="2"/>
  <c r="O59" i="2"/>
  <c r="E59" i="2" s="1"/>
  <c r="Y58" i="2"/>
  <c r="O58" i="2"/>
  <c r="E58" i="2" s="1"/>
  <c r="Y57" i="2"/>
  <c r="O57" i="2"/>
  <c r="E57" i="2"/>
  <c r="Y56" i="2"/>
  <c r="O56" i="2"/>
  <c r="E56" i="2" s="1"/>
  <c r="Y55" i="2"/>
  <c r="O55" i="2"/>
  <c r="E55" i="2" s="1"/>
  <c r="Y54" i="2"/>
  <c r="O54" i="2"/>
  <c r="E54" i="2" s="1"/>
  <c r="Y53" i="2"/>
  <c r="O53" i="2"/>
  <c r="E53" i="2"/>
  <c r="Y52" i="2"/>
  <c r="O52" i="2"/>
  <c r="E52" i="2" s="1"/>
  <c r="Y51" i="2"/>
  <c r="O51" i="2"/>
  <c r="E51" i="2" s="1"/>
  <c r="Y50" i="2"/>
  <c r="O50" i="2"/>
  <c r="E50" i="2" s="1"/>
  <c r="Y49" i="2"/>
  <c r="O49" i="2"/>
  <c r="E49" i="2"/>
  <c r="Y48" i="2"/>
  <c r="O48" i="2"/>
  <c r="E48" i="2" s="1"/>
  <c r="Y47" i="2"/>
  <c r="O47" i="2"/>
  <c r="E47" i="2" s="1"/>
  <c r="Y46" i="2"/>
  <c r="O46" i="2"/>
  <c r="E46" i="2" s="1"/>
  <c r="Y45" i="2"/>
  <c r="O45" i="2"/>
  <c r="E45" i="2"/>
  <c r="Y44" i="2"/>
  <c r="O44" i="2"/>
  <c r="E44" i="2" s="1"/>
  <c r="Y43" i="2"/>
  <c r="O43" i="2"/>
  <c r="E43" i="2" s="1"/>
  <c r="Y42" i="2"/>
  <c r="O42" i="2"/>
  <c r="E42" i="2" s="1"/>
  <c r="Y41" i="2"/>
  <c r="O41" i="2"/>
  <c r="E41" i="2"/>
  <c r="Y40" i="2"/>
  <c r="O40" i="2"/>
  <c r="E40" i="2" s="1"/>
  <c r="Y39" i="2"/>
  <c r="O39" i="2"/>
  <c r="E39" i="2" s="1"/>
  <c r="Y38" i="2"/>
  <c r="O38" i="2"/>
  <c r="E38" i="2" s="1"/>
  <c r="Y37" i="2"/>
  <c r="O37" i="2"/>
  <c r="E37" i="2"/>
  <c r="Y36" i="2"/>
  <c r="O36" i="2"/>
  <c r="E36" i="2" s="1"/>
  <c r="Y35" i="2"/>
  <c r="O35" i="2"/>
  <c r="E35" i="2" s="1"/>
  <c r="Y34" i="2"/>
  <c r="O34" i="2"/>
  <c r="E34" i="2" s="1"/>
  <c r="Y33" i="2"/>
  <c r="O33" i="2"/>
  <c r="E33" i="2"/>
  <c r="Y32" i="2"/>
  <c r="O32" i="2"/>
  <c r="E32" i="2" s="1"/>
  <c r="Y31" i="2"/>
  <c r="O31" i="2"/>
  <c r="E31" i="2" s="1"/>
  <c r="Y30" i="2"/>
  <c r="O30" i="2"/>
  <c r="E30" i="2" s="1"/>
  <c r="Y29" i="2"/>
  <c r="O29" i="2"/>
  <c r="E29" i="2"/>
  <c r="Y28" i="2"/>
  <c r="O28" i="2"/>
  <c r="E28" i="2" s="1"/>
  <c r="Y27" i="2"/>
  <c r="O27" i="2"/>
  <c r="E27" i="2" s="1"/>
  <c r="Y26" i="2"/>
  <c r="O26" i="2"/>
  <c r="E26" i="2" s="1"/>
  <c r="Y25" i="2"/>
  <c r="O25" i="2"/>
  <c r="E25" i="2"/>
  <c r="Y24" i="2"/>
  <c r="O24" i="2"/>
  <c r="E24" i="2" s="1"/>
  <c r="Y23" i="2"/>
  <c r="O23" i="2"/>
  <c r="E23" i="2" s="1"/>
  <c r="Y22" i="2"/>
  <c r="O22" i="2"/>
  <c r="E22" i="2" s="1"/>
  <c r="Y21" i="2"/>
  <c r="O21" i="2"/>
  <c r="E21" i="2" s="1"/>
  <c r="Y20" i="2"/>
  <c r="O20" i="2"/>
  <c r="E20" i="2" s="1"/>
  <c r="Y19" i="2"/>
  <c r="O19" i="2"/>
  <c r="E19" i="2" s="1"/>
  <c r="Y18" i="2"/>
  <c r="O18" i="2"/>
  <c r="E18" i="2" s="1"/>
  <c r="Y17" i="2"/>
  <c r="O17" i="2"/>
  <c r="E17" i="2" s="1"/>
  <c r="Y16" i="2"/>
  <c r="O16" i="2"/>
  <c r="E16" i="2" s="1"/>
  <c r="Y15" i="2"/>
  <c r="O15" i="2"/>
  <c r="E15" i="2" s="1"/>
  <c r="Y14" i="2"/>
  <c r="O14" i="2"/>
  <c r="E14" i="2" s="1"/>
  <c r="Y13" i="2"/>
  <c r="O13" i="2"/>
  <c r="E13" i="2" s="1"/>
  <c r="Y12" i="2"/>
  <c r="O12" i="2"/>
  <c r="E12" i="2" s="1"/>
  <c r="Y11" i="2"/>
  <c r="O11" i="2"/>
  <c r="E11" i="2" s="1"/>
  <c r="Y10" i="2"/>
  <c r="O10" i="2"/>
  <c r="E10" i="2" s="1"/>
  <c r="Y9" i="2"/>
  <c r="O9" i="2"/>
  <c r="E9" i="2" s="1"/>
  <c r="Y8" i="2"/>
  <c r="O8" i="2"/>
  <c r="E8" i="2" s="1"/>
  <c r="Y7" i="2"/>
  <c r="O7" i="2"/>
  <c r="E7" i="2" s="1"/>
  <c r="Y6" i="2"/>
  <c r="O6" i="2"/>
  <c r="E6" i="2" s="1"/>
  <c r="Y5" i="2"/>
  <c r="O5" i="2"/>
  <c r="E5" i="2" s="1"/>
  <c r="Y4" i="2"/>
  <c r="O4" i="2"/>
  <c r="E4" i="2" s="1"/>
  <c r="Y3" i="2"/>
  <c r="O3" i="2"/>
  <c r="E3" i="2" s="1"/>
  <c r="O30" i="1"/>
  <c r="O29" i="1"/>
  <c r="F29" i="1"/>
  <c r="O28" i="1"/>
  <c r="F28" i="1"/>
  <c r="O27" i="1"/>
  <c r="F27" i="1"/>
  <c r="F23" i="1" s="1"/>
  <c r="F26" i="1"/>
  <c r="O25" i="1"/>
  <c r="F25" i="1"/>
  <c r="O24" i="1"/>
  <c r="F24" i="1"/>
  <c r="N23" i="1"/>
  <c r="M23" i="1"/>
  <c r="L23" i="1"/>
  <c r="K23" i="1"/>
  <c r="K31" i="1" s="1"/>
  <c r="J23" i="1"/>
  <c r="H23" i="1"/>
  <c r="E23" i="1"/>
  <c r="D23" i="1"/>
  <c r="C23" i="1"/>
  <c r="B23" i="1"/>
  <c r="K22" i="1"/>
  <c r="K3" i="1" s="1"/>
  <c r="E22" i="1"/>
  <c r="E3" i="1" s="1"/>
  <c r="O21" i="1"/>
  <c r="F21" i="1"/>
  <c r="O20" i="1"/>
  <c r="F20" i="1"/>
  <c r="O19" i="1"/>
  <c r="F19" i="1"/>
  <c r="O18" i="1"/>
  <c r="F18" i="1"/>
  <c r="O17" i="1"/>
  <c r="F17" i="1"/>
  <c r="O16" i="1"/>
  <c r="F16" i="1"/>
  <c r="N15" i="1"/>
  <c r="N22" i="1" s="1"/>
  <c r="N3" i="1" s="1"/>
  <c r="M15" i="1"/>
  <c r="M22" i="1" s="1"/>
  <c r="M3" i="1" s="1"/>
  <c r="L15" i="1"/>
  <c r="L22" i="1" s="1"/>
  <c r="K15" i="1"/>
  <c r="J15" i="1"/>
  <c r="J22" i="1" s="1"/>
  <c r="J3" i="1" s="1"/>
  <c r="I15" i="1"/>
  <c r="I22" i="1" s="1"/>
  <c r="H15" i="1"/>
  <c r="F15" i="1"/>
  <c r="E15" i="1"/>
  <c r="D15" i="1"/>
  <c r="C15" i="1"/>
  <c r="C22" i="1" s="1"/>
  <c r="C3" i="1" s="1"/>
  <c r="B15" i="1"/>
  <c r="B22" i="1" s="1"/>
  <c r="B3" i="1" s="1"/>
  <c r="O14" i="1"/>
  <c r="F14" i="1"/>
  <c r="O13" i="1"/>
  <c r="F13" i="1"/>
  <c r="F12" i="1"/>
  <c r="O11" i="1"/>
  <c r="F11" i="1"/>
  <c r="F10" i="1" s="1"/>
  <c r="N10" i="1"/>
  <c r="M10" i="1"/>
  <c r="L10" i="1"/>
  <c r="K10" i="1"/>
  <c r="J10" i="1"/>
  <c r="I10" i="1"/>
  <c r="E10" i="1"/>
  <c r="D10" i="1"/>
  <c r="C10" i="1"/>
  <c r="B10" i="1"/>
  <c r="O9" i="1"/>
  <c r="F9" i="1"/>
  <c r="O8" i="1"/>
  <c r="F8" i="1"/>
  <c r="O7" i="1"/>
  <c r="F7" i="1"/>
  <c r="F4" i="1" s="1"/>
  <c r="O6" i="1"/>
  <c r="F6" i="1"/>
  <c r="O5" i="1"/>
  <c r="F5" i="1"/>
  <c r="O4" i="1"/>
  <c r="N4" i="1"/>
  <c r="M4" i="1"/>
  <c r="L4" i="1"/>
  <c r="K4" i="1"/>
  <c r="J4" i="1"/>
  <c r="I4" i="1"/>
  <c r="H4" i="1"/>
  <c r="E4" i="1"/>
  <c r="D4" i="1"/>
  <c r="D22" i="1" s="1"/>
  <c r="D3" i="1" s="1"/>
  <c r="C4" i="1"/>
  <c r="B4" i="1"/>
  <c r="O26" i="1" l="1"/>
  <c r="O12" i="1"/>
  <c r="H10" i="1"/>
  <c r="O10" i="1" s="1"/>
  <c r="M32" i="1"/>
  <c r="M33" i="1"/>
  <c r="M34" i="1"/>
  <c r="J31" i="1"/>
  <c r="L31" i="1"/>
  <c r="L3" i="1"/>
  <c r="N31" i="1"/>
  <c r="N32" i="1"/>
  <c r="N33" i="1"/>
  <c r="N34" i="1"/>
  <c r="M31" i="1"/>
  <c r="K34" i="1"/>
  <c r="K32" i="1"/>
  <c r="K33" i="1"/>
  <c r="I31" i="1"/>
  <c r="I3" i="1"/>
  <c r="F22" i="1"/>
  <c r="F3" i="1" s="1"/>
  <c r="J34" i="1"/>
  <c r="J32" i="1"/>
  <c r="J33" i="1"/>
  <c r="O15" i="1"/>
  <c r="O23" i="1"/>
  <c r="H22" i="1" l="1"/>
  <c r="F33" i="1"/>
  <c r="F34" i="1"/>
  <c r="F32" i="1"/>
  <c r="I34" i="1"/>
  <c r="I32" i="1"/>
  <c r="I33" i="1"/>
  <c r="L32" i="1"/>
  <c r="L33" i="1"/>
  <c r="L34" i="1"/>
  <c r="F31" i="1"/>
  <c r="H3" i="1" l="1"/>
  <c r="H31" i="1"/>
  <c r="O31" i="1" s="1"/>
  <c r="O22" i="1"/>
  <c r="H33" i="1" l="1"/>
  <c r="O33" i="1" s="1"/>
  <c r="H34" i="1"/>
  <c r="O34" i="1" s="1"/>
  <c r="O3" i="1"/>
  <c r="H32" i="1"/>
  <c r="O3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00000000-0006-0000-0400-000006000000}">
      <text>
        <r>
          <rPr>
            <sz val="11"/>
            <color theme="1"/>
            <rFont val="Calibri"/>
            <family val="2"/>
            <scheme val="minor"/>
          </rPr>
          <t>======
ID#AAABEWTRxDA
tc={B013C774-DE76-4268-BC3F-A8F047BF3654}    (2024-02-02 02:05:33)
[Threaded comment]
Your version of Excel allows you to read this threaded comment; however, any edits to it will get removed if the file is opened in a newer version of Excel. Learn more: https://go.microsoft.com/fwlink/?linkid=870924
Comment:
    PTKD cung cấp  và đảm bảo raw data đầu tháng</t>
        </r>
      </text>
    </comment>
    <comment ref="E4" authorId="0" shapeId="0" xr:uid="{00000000-0006-0000-0400-000002000000}">
      <text>
        <r>
          <rPr>
            <sz val="11"/>
            <color theme="1"/>
            <rFont val="Calibri"/>
            <family val="2"/>
            <scheme val="minor"/>
          </rPr>
          <t>======
ID#AAABEWTRxDQ
tc={56C8AE9F-8C72-43DA-B6B7-C6E3959F0B9C}    (2024-02-02 02:05:33)
[Threaded comment]
Your version of Excel allows you to read this threaded comment; however, any edits to it will get removed if the file is opened in a newer version of Excel. Learn more: https://go.microsoft.com/fwlink/?linkid=870924
Comment:
    PTKD cung cấp  và đảm bảo raw data đầu tháng</t>
        </r>
      </text>
    </comment>
    <comment ref="E5" authorId="0" shapeId="0" xr:uid="{00000000-0006-0000-0400-000001000000}">
      <text>
        <r>
          <rPr>
            <sz val="11"/>
            <color theme="1"/>
            <rFont val="Calibri"/>
            <family val="2"/>
            <scheme val="minor"/>
          </rPr>
          <t>======
ID#AAABEWTRxDU
tc={80978B3A-12F3-45B2-83EB-9F64684ACD47}    (2024-02-02 02:05:33)
[Threaded comment]
Your version of Excel allows you to read this threaded comment; however, any edits to it will get removed if the file is opened in a newer version of Excel. Learn more: https://go.microsoft.com/fwlink/?linkid=870924
Comment:
    PTKD cung cấp  và đảm bảo raw data đầu tháng</t>
        </r>
      </text>
    </comment>
    <comment ref="E6" authorId="0" shapeId="0" xr:uid="{00000000-0006-0000-0400-000004000000}">
      <text>
        <r>
          <rPr>
            <sz val="11"/>
            <color theme="1"/>
            <rFont val="Calibri"/>
            <family val="2"/>
            <scheme val="minor"/>
          </rPr>
          <t>======
ID#AAABEWTRxDI
tc={9CA302DD-F6CF-4A94-9ED6-FFA95178A984}    (2024-02-02 02:05:33)
[Threaded comment]
Your version of Excel allows you to read this threaded comment; however, any edits to it will get removed if the file is opened in a newer version of Excel. Learn more: https://go.microsoft.com/fwlink/?linkid=870924
Comment:
    PTKD cung cấp  và đảm bảo raw data đầu tháng</t>
        </r>
      </text>
    </comment>
    <comment ref="E7" authorId="0" shapeId="0" xr:uid="{00000000-0006-0000-0400-000003000000}">
      <text>
        <r>
          <rPr>
            <sz val="11"/>
            <color theme="1"/>
            <rFont val="Calibri"/>
            <family val="2"/>
            <scheme val="minor"/>
          </rPr>
          <t>======
ID#AAABEWTRxDM
tc={D399ED7E-B106-48E9-8B9D-35F0737BD31B}    (2024-02-02 02:05:33)
[Threaded comment]
Your version of Excel allows you to read this threaded comment; however, any edits to it will get removed if the file is opened in a newer version of Excel. Learn more: https://go.microsoft.com/fwlink/?linkid=870924
Comment:
    PTKD cung cấp  và đảm bảo raw data đầu tháng</t>
        </r>
      </text>
    </comment>
    <comment ref="E8" authorId="0" shapeId="0" xr:uid="{00000000-0006-0000-0400-000008000000}">
      <text>
        <r>
          <rPr>
            <sz val="11"/>
            <color theme="1"/>
            <rFont val="Calibri"/>
            <family val="2"/>
            <scheme val="minor"/>
          </rPr>
          <t>======
ID#AAABEWTRxC4
tc={DB77E2A4-BA5A-4E80-AF46-929A978C368A}    (2024-02-02 02:05:33)
[Threaded comment]
Your version of Excel allows you to read this threaded comment; however, any edits to it will get removed if the file is opened in a newer version of Excel. Learn more: https://go.microsoft.com/fwlink/?linkid=870924
Comment:
    PTKD cung cấp  và đảm bảo raw data đầu tháng</t>
        </r>
      </text>
    </comment>
    <comment ref="F15" authorId="0" shapeId="0" xr:uid="{00000000-0006-0000-0400-000007000000}">
      <text>
        <r>
          <rPr>
            <sz val="11"/>
            <color theme="1"/>
            <rFont val="Calibri"/>
            <family val="2"/>
            <scheme val="minor"/>
          </rPr>
          <t>======
ID#AAABEWTRxC8
tc={A8F37C1C-B745-4745-B916-A46D0AF77B01}    (2024-02-02 02:05:33)
[Threaded comment]
Your version of Excel allows you to read this threaded comment; however, any edits to it will get removed if the file is opened in a newer version of Excel. Learn more: https://go.microsoft.com/fwlink/?linkid=870924
Comment:
    Mapping dòng 62 sheet Mô Tả Chung</t>
        </r>
      </text>
    </comment>
    <comment ref="G15" authorId="0" shapeId="0" xr:uid="{00000000-0006-0000-0400-000005000000}">
      <text>
        <r>
          <rPr>
            <sz val="11"/>
            <color theme="1"/>
            <rFont val="Calibri"/>
            <family val="2"/>
            <scheme val="minor"/>
          </rPr>
          <t>======
ID#AAABEWTRxDE
tc={96DD8DCF-3096-481D-A3AA-BAE6420D1230}    (2024-02-02 02:05:33)
[Threaded comment]
Your version of Excel allows you to read this threaded comment; however, any edits to it will get removed if the file is opened in a newer version of Excel. Learn more: https://go.microsoft.com/fwlink/?linkid=870924
Comment:
    những khoản hạch toán chung sẽ pbo về tỉnh theo rules này</t>
        </r>
      </text>
    </comment>
  </commentList>
  <extLst>
    <ext xmlns:r="http://schemas.openxmlformats.org/officeDocument/2006/relationships" uri="GoogleSheetsCustomDataVersion2">
      <go:sheetsCustomData xmlns:go="http://customooxmlschemas.google.com/" r:id="rId1" roundtripDataSignature="AMtx7mjcjzqKPbvEtZP2PYu/+zs7L57pzA=="/>
    </ext>
  </extLst>
</comments>
</file>

<file path=xl/sharedStrings.xml><?xml version="1.0" encoding="utf-8"?>
<sst xmlns="http://schemas.openxmlformats.org/spreadsheetml/2006/main" count="1229" uniqueCount="668">
  <si>
    <t>Tổng cần phân bổ xuống cho ĐVML</t>
  </si>
  <si>
    <t>KHU VỰC MẠNG LƯỚI</t>
  </si>
  <si>
    <t>HEAD</t>
  </si>
  <si>
    <t>Miền Bắc</t>
  </si>
  <si>
    <t>Miền Nam</t>
  </si>
  <si>
    <t>Miền Trung</t>
  </si>
  <si>
    <t>Total</t>
  </si>
  <si>
    <t>Đông Bắc Bộ</t>
  </si>
  <si>
    <t>Tây Bắc Bộ</t>
  </si>
  <si>
    <t>ĐB Sông Hồng</t>
  </si>
  <si>
    <t>Bắc Trung Bộ</t>
  </si>
  <si>
    <t>Nam Trung Bộ</t>
  </si>
  <si>
    <t>Tây Nam Bộ</t>
  </si>
  <si>
    <t>Đông Nam Bộ</t>
  </si>
  <si>
    <t>1. Lợi nhuận trước thuế</t>
  </si>
  <si>
    <t>Thu nhập từ hoạt động thẻ</t>
  </si>
  <si>
    <t>Lãi trong hạn</t>
  </si>
  <si>
    <t>Lãi quá hạn</t>
  </si>
  <si>
    <t>Phí Bảo hiểm</t>
  </si>
  <si>
    <t>Phí tăng hạn mức</t>
  </si>
  <si>
    <t>Phí thanh toán chậm, thu từ ngoại bảng, khác…</t>
  </si>
  <si>
    <t>Chi phí thuần KDV</t>
  </si>
  <si>
    <t>DT Nguồn vốn</t>
  </si>
  <si>
    <t>CP vốn TT 2</t>
  </si>
  <si>
    <t>CP vốn TT 1</t>
  </si>
  <si>
    <t>CP vốn CCTG</t>
  </si>
  <si>
    <t>Chi phí thuần hoạt động khác</t>
  </si>
  <si>
    <t>DT Fintech</t>
  </si>
  <si>
    <t>DT tiểu thương, cá nhân</t>
  </si>
  <si>
    <t>DT Kinh doanh</t>
  </si>
  <si>
    <t xml:space="preserve">CP hoa hồng </t>
  </si>
  <si>
    <t xml:space="preserve">CP thuần KD khác </t>
  </si>
  <si>
    <t>CP hợp tác kd tàu (net)</t>
  </si>
  <si>
    <t>Tổng thu nhập hoạt động</t>
  </si>
  <si>
    <t>Tổng chi phí hoạt động</t>
  </si>
  <si>
    <t>CP thuế, phí</t>
  </si>
  <si>
    <t>CP nhân viên</t>
  </si>
  <si>
    <t>CP quản lý</t>
  </si>
  <si>
    <t>CP tài sản</t>
  </si>
  <si>
    <t>Chi phí dự phòng</t>
  </si>
  <si>
    <t>2. Số lượng nhân sự ( Sale Manager )</t>
  </si>
  <si>
    <t>3. Chỉ số tài chính</t>
  </si>
  <si>
    <t>CIR (%)</t>
  </si>
  <si>
    <t>Margin (%)</t>
  </si>
  <si>
    <t>Hiệu suất trên/vốn (%)</t>
  </si>
  <si>
    <t>Hiệu suất BQ/ Nhân sự</t>
  </si>
  <si>
    <t>QUY MÔ</t>
  </si>
  <si>
    <t>TÀI CHÍNH</t>
  </si>
  <si>
    <t>month_key</t>
  </si>
  <si>
    <t>area_cde</t>
  </si>
  <si>
    <t>area_name</t>
  </si>
  <si>
    <t>email</t>
  </si>
  <si>
    <t>Tổng điểm</t>
  </si>
  <si>
    <t>rank_final</t>
  </si>
  <si>
    <t>ltn_avg</t>
  </si>
  <si>
    <t>rank_ltn_avg</t>
  </si>
  <si>
    <t>psdn_avg</t>
  </si>
  <si>
    <t>rank_psdn_avg</t>
  </si>
  <si>
    <t>approval_rate_avg</t>
  </si>
  <si>
    <t>rank_approval_rate_avg</t>
  </si>
  <si>
    <t>npl_truoc_wo_luy_ke</t>
  </si>
  <si>
    <t>rank_npl_truoc_wo_luy_ke</t>
  </si>
  <si>
    <t>Điểm Quy Mô</t>
  </si>
  <si>
    <t>rank_ptkd</t>
  </si>
  <si>
    <t>cir</t>
  </si>
  <si>
    <t>rank_cir</t>
  </si>
  <si>
    <t>margin</t>
  </si>
  <si>
    <t>rank_margin</t>
  </si>
  <si>
    <t>hs_von</t>
  </si>
  <si>
    <t>rank_hs_von</t>
  </si>
  <si>
    <t>hsbq_nhan_su</t>
  </si>
  <si>
    <t>rank_hsbq_nhan_su</t>
  </si>
  <si>
    <t>Điểm FIN</t>
  </si>
  <si>
    <t>rank_fin</t>
  </si>
  <si>
    <t>D</t>
  </si>
  <si>
    <t>Đồng Bằng Sông Hồng</t>
  </si>
  <si>
    <t>nam.hoangvan@hocnghiepvu.com</t>
  </si>
  <si>
    <t>F</t>
  </si>
  <si>
    <t>ha.hoangthi@hocnghiepvu.com</t>
  </si>
  <si>
    <t>mai.nguyenthi@hocnghiepvu.com</t>
  </si>
  <si>
    <t>khanh.nguyenvan@hocnghiepvu.com</t>
  </si>
  <si>
    <t>E</t>
  </si>
  <si>
    <t>hong.nguyenthi@hocnghiepvu.com</t>
  </si>
  <si>
    <t>thu.dothi@hocnghiepvu.com</t>
  </si>
  <si>
    <t>thanh.nguyenthi@hocnghiepvu.com</t>
  </si>
  <si>
    <t>hue.dinhthi@hocnghiepvu.com</t>
  </si>
  <si>
    <t>C</t>
  </si>
  <si>
    <t>lan.phamthi@hocnghiepvu.com</t>
  </si>
  <si>
    <t>duc.dangvan@hocnghiepvu.com</t>
  </si>
  <si>
    <t>doan.nguyenvan@hocnghiepvu.com</t>
  </si>
  <si>
    <t>dao.phamvan@hocnghiepvu.com</t>
  </si>
  <si>
    <t>thuy.phamthi@hocnghiepvu.com</t>
  </si>
  <si>
    <t>thuan.hoangthi@hocnghiepvu.com</t>
  </si>
  <si>
    <t>tuan.phamminh@hocnghiepvu.com</t>
  </si>
  <si>
    <t>ha.lethi@hocnghiepvu.com</t>
  </si>
  <si>
    <t>linh.lethi@hocnghiepvu.com</t>
  </si>
  <si>
    <t>mai.vuthi@hocnghiepvu.com</t>
  </si>
  <si>
    <t>thao.lethi@hocnghiepvu.com</t>
  </si>
  <si>
    <t>son.nguyenvan@hocnghiepvu.com</t>
  </si>
  <si>
    <t>anh.tranvantuan@hocnghiepvu.com</t>
  </si>
  <si>
    <t>hai.nguyenvan@hocnghiepvu.com</t>
  </si>
  <si>
    <t>thuy.lethu@hocnghiepvu.com</t>
  </si>
  <si>
    <t>thang.tranvan@hocnghiepvu.com</t>
  </si>
  <si>
    <t>hung.dinhvan@hocnghiepvu.com</t>
  </si>
  <si>
    <t>G</t>
  </si>
  <si>
    <t>thu.tranthi@hocnghiepvu.com</t>
  </si>
  <si>
    <t>tuan.levan@hocnghiepvu.com</t>
  </si>
  <si>
    <t>hau.nguyenvan@hocnghiepvu.com</t>
  </si>
  <si>
    <t>anh.lethi@hocnghiepvu.com</t>
  </si>
  <si>
    <t>huong.lethi@hocnghiepvu.com</t>
  </si>
  <si>
    <t>B</t>
  </si>
  <si>
    <t>hung.tranvan@hocnghiepvu.com</t>
  </si>
  <si>
    <t>H</t>
  </si>
  <si>
    <t>anh.tranvan@hocnghiepvu.com</t>
  </si>
  <si>
    <t>bich.nguyenthi@hocnghiepvu.com</t>
  </si>
  <si>
    <t>huong.tranthi@hocnghiepvu.com</t>
  </si>
  <si>
    <t>quan.tranminh@hocnghiepvu.com</t>
  </si>
  <si>
    <t>ngoc.hoangthi@hocnghiepvu.com</t>
  </si>
  <si>
    <t>dai.hoangvan@hocnghiepvu.com</t>
  </si>
  <si>
    <t>duy.nguyenvan@hocnghiepvu.com</t>
  </si>
  <si>
    <t>phuong.lethi@hocnghiepvu.com</t>
  </si>
  <si>
    <t>hanh.phamthi@hocnghiepvu.com</t>
  </si>
  <si>
    <t>hai.phamvan@hocnghiepvu.com</t>
  </si>
  <si>
    <t>nga.lethi@hocnghiepvu.com</t>
  </si>
  <si>
    <t>thu.lethi@hocnghiepvu.com</t>
  </si>
  <si>
    <t>thanh.levan@hocnghiepvu.com</t>
  </si>
  <si>
    <t>binh.hoangvan@hocnghiepvu.com</t>
  </si>
  <si>
    <t>huong.phamthi@hocnghiepvu.com</t>
  </si>
  <si>
    <t>duc.phamvan@hocnghiepvu.com</t>
  </si>
  <si>
    <t>ngoc.nguyenthi@hocnghiepvu.com</t>
  </si>
  <si>
    <t>binh.levan@hocnghiepvu.com</t>
  </si>
  <si>
    <t>duc.leminh@hocnghiepvu.com</t>
  </si>
  <si>
    <t>duc.nguyenvan@hocnghiepvu.com</t>
  </si>
  <si>
    <t>ha.tranthi@hocnghiepvu.com</t>
  </si>
  <si>
    <t>minh.tranvan@hocnghiepvu.com</t>
  </si>
  <si>
    <t>ha.nguyenvan@hocnghiepvu.com</t>
  </si>
  <si>
    <t>phu.tranvan@hocnghiepvu.com</t>
  </si>
  <si>
    <t>lan.dinhthi@hocnghiepvu.com</t>
  </si>
  <si>
    <t>nam.tranvan@hocnghiepvu.com</t>
  </si>
  <si>
    <t>kim.lethi@hocnghiepvu.com</t>
  </si>
  <si>
    <t>kim.nguyenthi@hocnghiepvu.com</t>
  </si>
  <si>
    <t>binh.tranvan@hocnghiepvu.com</t>
  </si>
  <si>
    <t>hoa.tranvan@hocnghiepvu.com</t>
  </si>
  <si>
    <t>mai.tranthi@hocnghiepvu.com</t>
  </si>
  <si>
    <t>thuy.lethi@hocnghiepvu.com</t>
  </si>
  <si>
    <t>tung.tranvan@hocnghiepvu.com</t>
  </si>
  <si>
    <t>hai.levan@hocnghiepvu.com</t>
  </si>
  <si>
    <t>thang.phamvan@hocnghiepvu.com</t>
  </si>
  <si>
    <t>hang.nguyenthi@hocnghiepvu.com</t>
  </si>
  <si>
    <t>huong.lethu@hocnghiepvu.com</t>
  </si>
  <si>
    <t>ngoc.lethi@hocnghiepvu.com</t>
  </si>
  <si>
    <t>hung.hoangvan@hocnghiepvu.com</t>
  </si>
  <si>
    <t>thanh.phamthi@hocnghiepvu.com</t>
  </si>
  <si>
    <t>tan.hoangvan@hocnghiepvu.com</t>
  </si>
  <si>
    <t>tung.nguyenvan@hocnghiepvu.com</t>
  </si>
  <si>
    <t>loi.hoangvan@hocnghiepvu.com</t>
  </si>
  <si>
    <t>LOAN TO NEW</t>
  </si>
  <si>
    <t>PHÁT SINH DƯ NỢ</t>
  </si>
  <si>
    <t>APP APPROVED</t>
  </si>
  <si>
    <t>APP IN</t>
  </si>
  <si>
    <t>APPROVAL RATE</t>
  </si>
  <si>
    <t>sale_name</t>
  </si>
  <si>
    <t>jan</t>
  </si>
  <si>
    <t>feb</t>
  </si>
  <si>
    <t>mar</t>
  </si>
  <si>
    <t>apr</t>
  </si>
  <si>
    <t>may</t>
  </si>
  <si>
    <t>jun</t>
  </si>
  <si>
    <t>july</t>
  </si>
  <si>
    <t>aug</t>
  </si>
  <si>
    <t>sep</t>
  </si>
  <si>
    <t>oct</t>
  </si>
  <si>
    <t>nov</t>
  </si>
  <si>
    <t>dec</t>
  </si>
  <si>
    <t>Nguyễn Thị Hồng</t>
  </si>
  <si>
    <t>Trần Văn Anh</t>
  </si>
  <si>
    <t>Lê Thị Linh</t>
  </si>
  <si>
    <t>Phạm Minh Tuấn</t>
  </si>
  <si>
    <t>Hoàng Thị Ngọc</t>
  </si>
  <si>
    <t>Đặng Văn Đức</t>
  </si>
  <si>
    <t>Vũ Thị Mai</t>
  </si>
  <si>
    <t>Lê Thị Thanh</t>
  </si>
  <si>
    <t>thanh.lethi@hocnghiepvu.com</t>
  </si>
  <si>
    <t>Nguyễn Văn Khánh</t>
  </si>
  <si>
    <t>Lê Thị Thu</t>
  </si>
  <si>
    <t>Trần Minh Quân</t>
  </si>
  <si>
    <t>Phạm Thị Hạnh</t>
  </si>
  <si>
    <t>Đinh Văn Hùng</t>
  </si>
  <si>
    <t>Trần Thị Mai</t>
  </si>
  <si>
    <t>Lê Văn Tuấn</t>
  </si>
  <si>
    <t>Nguyễn Thị Thanh</t>
  </si>
  <si>
    <t>Hoàng Văn Nam</t>
  </si>
  <si>
    <t>Trần Thị Thu</t>
  </si>
  <si>
    <t>Lê Minh Đức</t>
  </si>
  <si>
    <t>Nguyễn Thị Bích</t>
  </si>
  <si>
    <t>Phạm Văn Hải</t>
  </si>
  <si>
    <t>Hoàng Thị Hà</t>
  </si>
  <si>
    <t>Lê Văn Thành</t>
  </si>
  <si>
    <t>Nguyễn Thị Ngọc</t>
  </si>
  <si>
    <t>Trần Văn Minh</t>
  </si>
  <si>
    <t>Lê Thị Phương</t>
  </si>
  <si>
    <t>Phạm Văn Đức</t>
  </si>
  <si>
    <t>Nguyễn Thị Mai</t>
  </si>
  <si>
    <t>Trần Văn Hùng</t>
  </si>
  <si>
    <t>Đỗ Thị Thu</t>
  </si>
  <si>
    <t>Lê Văn Hải</t>
  </si>
  <si>
    <t>Phạm Thị Hương</t>
  </si>
  <si>
    <t>Nguyễn Văn Đoàn</t>
  </si>
  <si>
    <t>Lê Thị Thảo</t>
  </si>
  <si>
    <t>Trần Văn Tùng</t>
  </si>
  <si>
    <t>Hoàng Văn Tân</t>
  </si>
  <si>
    <t>Lê Thị Thúy</t>
  </si>
  <si>
    <t>Nguyễn Văn Duy</t>
  </si>
  <si>
    <t>Phạm Thị Thuỷ</t>
  </si>
  <si>
    <t>Trần Văn Nam</t>
  </si>
  <si>
    <t>Lê Thu Hương</t>
  </si>
  <si>
    <t>Hoàng Văn Đại</t>
  </si>
  <si>
    <t>Nguyễn Thị Kim</t>
  </si>
  <si>
    <t>Trần Văn Bình</t>
  </si>
  <si>
    <t>Lê Thị Ngọc</t>
  </si>
  <si>
    <t>Phạm Văn Thắng</t>
  </si>
  <si>
    <t>Đinh Thị Huệ</t>
  </si>
  <si>
    <t>Trần Văn Hòa</t>
  </si>
  <si>
    <t>Lê Thị Nga</t>
  </si>
  <si>
    <t>Nguyễn Văn Tùng</t>
  </si>
  <si>
    <t>Phạm Thị Thanh</t>
  </si>
  <si>
    <t>Hoàng Văn Hưng</t>
  </si>
  <si>
    <t>Lê Thị Ánh</t>
  </si>
  <si>
    <t>Nguyễn Văn Hà</t>
  </si>
  <si>
    <t>Trần Thị Hà</t>
  </si>
  <si>
    <t>Lê Văn Bình</t>
  </si>
  <si>
    <t>Nguyễn Thị Hằng</t>
  </si>
  <si>
    <t>Hoàng Văn Lợi</t>
  </si>
  <si>
    <t>Lê Thị Kim</t>
  </si>
  <si>
    <t>Phạm Văn Đạo</t>
  </si>
  <si>
    <t>Trần Thị Hương</t>
  </si>
  <si>
    <t>Nguyễn Văn Hậu</t>
  </si>
  <si>
    <t>Lê Thị Hà</t>
  </si>
  <si>
    <t>Hoàng Văn Bình</t>
  </si>
  <si>
    <t>Đinh Thị Lan</t>
  </si>
  <si>
    <t>Trần Văn Phú</t>
  </si>
  <si>
    <t>Nguyễn Văn Đức</t>
  </si>
  <si>
    <t>Phạm Thị Mai</t>
  </si>
  <si>
    <t>mai.phamthi@hocnghiepvu.com</t>
  </si>
  <si>
    <t>Trần Văn Hải</t>
  </si>
  <si>
    <t>hai.tranvan@hocnghiepvu.com</t>
  </si>
  <si>
    <t>Phạm Thị Ngọc</t>
  </si>
  <si>
    <t>ngoc.phamthi@hocnghiepvu.com</t>
  </si>
  <si>
    <t>Trần Thị Lan</t>
  </si>
  <si>
    <t>lan.tranthi@hocnghiepvu.com</t>
  </si>
  <si>
    <t>Nguyễn Văn Tuấn</t>
  </si>
  <si>
    <t>tuan.nguyenvan@hocnghiepvu.com</t>
  </si>
  <si>
    <t>Hoàng Thị Thảo</t>
  </si>
  <si>
    <t>thao.hoangthi@hocnghiepvu.com</t>
  </si>
  <si>
    <t>Lê Văn An</t>
  </si>
  <si>
    <t>an.levan@hocnghiepvu.com</t>
  </si>
  <si>
    <t>Nguyễn Thị Loan</t>
  </si>
  <si>
    <t>loan.nguyenthi@hocnghiepvu.com</t>
  </si>
  <si>
    <t>Trần Văn Đạt</t>
  </si>
  <si>
    <t>dat.tranvan@hocnghiepvu.com</t>
  </si>
  <si>
    <t>Nguyễn Văn Sơn</t>
  </si>
  <si>
    <t>Phạm Thị Lan</t>
  </si>
  <si>
    <t>Nguyễn Văn Hải</t>
  </si>
  <si>
    <t>Lê Thị Hương</t>
  </si>
  <si>
    <t>Trần Văn Thắng</t>
  </si>
  <si>
    <t>Hoàng Thị Thuận</t>
  </si>
  <si>
    <t>Lê Thu Thủy</t>
  </si>
  <si>
    <t>Tỉnh/TP</t>
  </si>
  <si>
    <t>Mã Tỉnh Thành</t>
  </si>
  <si>
    <t>Mã cấu trúc về TXN trong GL</t>
  </si>
  <si>
    <t>Danh sách Vùng ( Khu vực )</t>
  </si>
  <si>
    <t>mã KV</t>
  </si>
  <si>
    <t>Hội Sở</t>
  </si>
  <si>
    <t>00</t>
  </si>
  <si>
    <t>Cấu trúc</t>
  </si>
  <si>
    <t>AAA.BB.CC.DDD</t>
  </si>
  <si>
    <t>Note</t>
  </si>
  <si>
    <t>Khu vực 0 - HỘI SỞ:</t>
  </si>
  <si>
    <t>A</t>
  </si>
  <si>
    <t>An Giang</t>
  </si>
  <si>
    <t>01</t>
  </si>
  <si>
    <t>AAA</t>
  </si>
  <si>
    <t>DVML / HEAD</t>
  </si>
  <si>
    <t>Đơn vị Mạng lưới / Đơn vị phòng ban</t>
  </si>
  <si>
    <t>Khu vực I - Đông Bắc Bộ:</t>
  </si>
  <si>
    <t>Bắc Giang</t>
  </si>
  <si>
    <t>02</t>
  </si>
  <si>
    <t>BB</t>
  </si>
  <si>
    <t>00,01,02,03,04,05,06</t>
  </si>
  <si>
    <t>Vùng</t>
  </si>
  <si>
    <t>Hà Giang</t>
  </si>
  <si>
    <t>Bắc Kạn</t>
  </si>
  <si>
    <t>03</t>
  </si>
  <si>
    <t>A,B,C,D,E,F,G,H,…</t>
  </si>
  <si>
    <t>Khu vực</t>
  </si>
  <si>
    <t>Tuyên Quang</t>
  </si>
  <si>
    <t>Bạc Liêu</t>
  </si>
  <si>
    <t>04</t>
  </si>
  <si>
    <t>DD</t>
  </si>
  <si>
    <t>01,02,…</t>
  </si>
  <si>
    <t>Phú Thọ</t>
  </si>
  <si>
    <t>Bắc Ninh</t>
  </si>
  <si>
    <t>05</t>
  </si>
  <si>
    <t>EEE</t>
  </si>
  <si>
    <t>001,002,…</t>
  </si>
  <si>
    <t>Thứ tự đơn vị mạng lưới</t>
  </si>
  <si>
    <t>Thái Nguyên</t>
  </si>
  <si>
    <t>Bến Tre</t>
  </si>
  <si>
    <t>06</t>
  </si>
  <si>
    <t>Bình Định</t>
  </si>
  <si>
    <t>07</t>
  </si>
  <si>
    <t>Cao Bằng</t>
  </si>
  <si>
    <t>Bình Dương</t>
  </si>
  <si>
    <t>08</t>
  </si>
  <si>
    <t>Lạng Sơn</t>
  </si>
  <si>
    <t>Bình Phước</t>
  </si>
  <si>
    <t>09</t>
  </si>
  <si>
    <t>Bình Thuận</t>
  </si>
  <si>
    <t>10</t>
  </si>
  <si>
    <t>Quảng Ninh</t>
  </si>
  <si>
    <t>Cà Mau</t>
  </si>
  <si>
    <t>11</t>
  </si>
  <si>
    <t>Khu vực II - Tây Bắc Bộ</t>
  </si>
  <si>
    <t>Cần Thơ</t>
  </si>
  <si>
    <t>12</t>
  </si>
  <si>
    <t>Lào Cai</t>
  </si>
  <si>
    <t>13</t>
  </si>
  <si>
    <t>Yên Bái</t>
  </si>
  <si>
    <t>Đà Nẵng</t>
  </si>
  <si>
    <t>14</t>
  </si>
  <si>
    <t>Điện Biên</t>
  </si>
  <si>
    <t>Đắk Lắk</t>
  </si>
  <si>
    <t>15</t>
  </si>
  <si>
    <t>Sơn La</t>
  </si>
  <si>
    <t>Đắk Nông</t>
  </si>
  <si>
    <t>16</t>
  </si>
  <si>
    <t>Hòa Bình</t>
  </si>
  <si>
    <t>17</t>
  </si>
  <si>
    <t>Khu vực III - Đồng Bằng Sông Hồng:</t>
  </si>
  <si>
    <t>Đồng Nai</t>
  </si>
  <si>
    <t>18</t>
  </si>
  <si>
    <t>Lưu ý : Phần chia Khu vực đang theo địa lý của Việt Nam. Tuy nhiên tuỳ doanh nghiệp sẽ hoạch định phân bổ lại Đơn Vị Mạng Lưới sao cho đồng đều để các ASM có trách nhiệm và động lực thúc đẩy kinh doanh</t>
  </si>
  <si>
    <t>Hà Nội</t>
  </si>
  <si>
    <t>Đồng Tháp</t>
  </si>
  <si>
    <t>19</t>
  </si>
  <si>
    <t>Hải Phòng</t>
  </si>
  <si>
    <t>Gia Lai</t>
  </si>
  <si>
    <t>20</t>
  </si>
  <si>
    <t>Vĩnh Phúc</t>
  </si>
  <si>
    <t>21</t>
  </si>
  <si>
    <t>Hà Nam</t>
  </si>
  <si>
    <t>22</t>
  </si>
  <si>
    <t>Hưng Yên</t>
  </si>
  <si>
    <t>23</t>
  </si>
  <si>
    <t>Hải Dương</t>
  </si>
  <si>
    <t>Hà Tĩnh</t>
  </si>
  <si>
    <t>24</t>
  </si>
  <si>
    <t>Thái Bình</t>
  </si>
  <si>
    <t>25</t>
  </si>
  <si>
    <t>CÁC CẤP ĐỘ VỀ SALE MANAGER</t>
  </si>
  <si>
    <t>Nam Định</t>
  </si>
  <si>
    <t>26</t>
  </si>
  <si>
    <t>STT</t>
  </si>
  <si>
    <t>ROLE NAME</t>
  </si>
  <si>
    <t>MÔ TẢ</t>
  </si>
  <si>
    <t>Ninh Bình</t>
  </si>
  <si>
    <t>Hậu Giang</t>
  </si>
  <si>
    <t>27</t>
  </si>
  <si>
    <t>NSM</t>
  </si>
  <si>
    <t>National Sale Manager (NSM &gt; RSM)</t>
  </si>
  <si>
    <t>RSM</t>
  </si>
  <si>
    <t>Region Sale Manager ( RSM &gt; ASM )</t>
  </si>
  <si>
    <t>Hồ Chí Minh</t>
  </si>
  <si>
    <t>28</t>
  </si>
  <si>
    <t>ASM</t>
  </si>
  <si>
    <t>Area Sale Manager ( ASM &gt; DSM )</t>
  </si>
  <si>
    <t>Khu vực IV - Bắc Trung Bộ:</t>
  </si>
  <si>
    <t>29</t>
  </si>
  <si>
    <t>DSM</t>
  </si>
  <si>
    <t>District Sale Manager ( DSM &gt; CLC)</t>
  </si>
  <si>
    <t>Thanh Hoá</t>
  </si>
  <si>
    <t>30</t>
  </si>
  <si>
    <t>CLC</t>
  </si>
  <si>
    <t>Customer Lifecycle Coordinator : Direct Sale - Nhân viên tư vấn tín dụng</t>
  </si>
  <si>
    <t>Nghệ An</t>
  </si>
  <si>
    <t>Khánh Hòa</t>
  </si>
  <si>
    <t>31</t>
  </si>
  <si>
    <t>Kiên Giang</t>
  </si>
  <si>
    <t>32</t>
  </si>
  <si>
    <t>Quảng Bình</t>
  </si>
  <si>
    <t>Kon Tum</t>
  </si>
  <si>
    <t>33</t>
  </si>
  <si>
    <t>Quảng Trị</t>
  </si>
  <si>
    <t>Lai Châu</t>
  </si>
  <si>
    <t>34</t>
  </si>
  <si>
    <t>Thừa Thiên Huế</t>
  </si>
  <si>
    <t>Lâm Đồng</t>
  </si>
  <si>
    <t>35</t>
  </si>
  <si>
    <t>Khu vực V - Nam Trung Bộ:</t>
  </si>
  <si>
    <t>36</t>
  </si>
  <si>
    <t>37</t>
  </si>
  <si>
    <t>Quảng Nam</t>
  </si>
  <si>
    <t>Long An</t>
  </si>
  <si>
    <t>38</t>
  </si>
  <si>
    <t>Quảng Ngãi</t>
  </si>
  <si>
    <t>39</t>
  </si>
  <si>
    <t>40</t>
  </si>
  <si>
    <t>Phú Yên</t>
  </si>
  <si>
    <t>41</t>
  </si>
  <si>
    <t>Khánh Hoà</t>
  </si>
  <si>
    <t>Ninh Thuận</t>
  </si>
  <si>
    <t>42</t>
  </si>
  <si>
    <t>43</t>
  </si>
  <si>
    <t>44</t>
  </si>
  <si>
    <t>45</t>
  </si>
  <si>
    <t>46</t>
  </si>
  <si>
    <t>Dak Lak</t>
  </si>
  <si>
    <t>47</t>
  </si>
  <si>
    <t>Dak Nông</t>
  </si>
  <si>
    <t>48</t>
  </si>
  <si>
    <t>49</t>
  </si>
  <si>
    <t>Khu vực VI - Miền Tây Nam Bộ:</t>
  </si>
  <si>
    <t>Sóc Trăng</t>
  </si>
  <si>
    <t>50</t>
  </si>
  <si>
    <t>51</t>
  </si>
  <si>
    <t>Tây Ninh</t>
  </si>
  <si>
    <t>52</t>
  </si>
  <si>
    <t>53</t>
  </si>
  <si>
    <t>Tiền Giang</t>
  </si>
  <si>
    <t>54</t>
  </si>
  <si>
    <t>Thanh Hóa</t>
  </si>
  <si>
    <t>55</t>
  </si>
  <si>
    <t>Huế</t>
  </si>
  <si>
    <t>56</t>
  </si>
  <si>
    <t>Vĩnh Long</t>
  </si>
  <si>
    <t>57</t>
  </si>
  <si>
    <t>Trà Vinh</t>
  </si>
  <si>
    <t>58</t>
  </si>
  <si>
    <t>59</t>
  </si>
  <si>
    <t>60</t>
  </si>
  <si>
    <t>61</t>
  </si>
  <si>
    <t>Vũng Tàu</t>
  </si>
  <si>
    <t>62</t>
  </si>
  <si>
    <t>63</t>
  </si>
  <si>
    <t>Khu vực VII - Miền Đông Nam Bộ:</t>
  </si>
  <si>
    <t>TP.Hồ Chí Minh (Thành phố trực thuộc Trung ương)</t>
  </si>
  <si>
    <t>Bà Rịa-Vũng Tàu</t>
  </si>
  <si>
    <t>Số thứ tự</t>
  </si>
  <si>
    <t>Thuật ngữ</t>
  </si>
  <si>
    <t>ĐV cung cấp</t>
  </si>
  <si>
    <t xml:space="preserve">Nguồn </t>
  </si>
  <si>
    <t>Mô tả 1</t>
  </si>
  <si>
    <t>Rule phân bổ 1</t>
  </si>
  <si>
    <t>Rule phân bổ 2</t>
  </si>
  <si>
    <t>Công thức</t>
  </si>
  <si>
    <t>Kí hiệu</t>
  </si>
  <si>
    <t>Region Sale Manager ( RSM )</t>
  </si>
  <si>
    <t>PTKD</t>
  </si>
  <si>
    <t>PTKD SM Data</t>
  </si>
  <si>
    <t>Tên của người quản lý khu vực gồm nhiều tỉnh thành</t>
  </si>
  <si>
    <t>Branch Manager ( BM )</t>
  </si>
  <si>
    <t>Tên của giám đốc kinh doanh quản lý phụ trách một tỉnh</t>
  </si>
  <si>
    <t>Tỉnh/thành phố</t>
  </si>
  <si>
    <t>Tên tỉnh / thành phố có xếp hạng</t>
  </si>
  <si>
    <t>Sale Manager ( SM )</t>
  </si>
  <si>
    <t>Tên trưởng bộ phận kinh doanh thuộc một địa bàn trong tỉnh. 1 BM quản lý nhiều SM</t>
  </si>
  <si>
    <t>LTN</t>
  </si>
  <si>
    <t>Loan To New : Số dư nợ cho vay khách hàng mới trong tháng</t>
  </si>
  <si>
    <t>Báo cáo cung cấp số liệu LTN tới từng RSM theo tháng</t>
  </si>
  <si>
    <t>Lấy trung bình theo tháng lũy kế từ ngày phát sinh</t>
  </si>
  <si>
    <t>Lấy LTN trung bình, VD LTN T1,2 = (T1+T2)/2</t>
  </si>
  <si>
    <t>PSDN</t>
  </si>
  <si>
    <t>Phát Sinh Dư Nợ : Mỗi 1 khách hàng mới trong tháng có phát sinh dư nợ sẽ tính là 1</t>
  </si>
  <si>
    <t>Báo cáo cung cấp số liệu PSDN tới từng RSM theo tháng</t>
  </si>
  <si>
    <t>Lấy PSDN trung bình, VD PSDN T1,2 = (T1+T2)/2</t>
  </si>
  <si>
    <t>Approve rate ( approve/app-in)</t>
  </si>
  <si>
    <t>Tỷ lệ số lượng hồ sơ khách hàng được duyệt / hồ sơ khách hàng đăng ký</t>
  </si>
  <si>
    <t>Báo cáo cung cấp số liệu tỷ lệ approve và app-in tới từng RSM theo tháng</t>
  </si>
  <si>
    <t>Approve rate = (approve/app-in) VD: Approve rate trung bình T1,2 = Approve TB T1,2/ app-in TB T1,2</t>
  </si>
  <si>
    <t>NPL bef WO</t>
  </si>
  <si>
    <t>TCKH</t>
  </si>
  <si>
    <t>Sao kê KPI</t>
  </si>
  <si>
    <t>Tỷ lệ nợ xấu trước Write Off</t>
  </si>
  <si>
    <t>Báo cáo đã cung cấp số liệu tới tỉnh/thành phố</t>
  </si>
  <si>
    <t>Các team SM trong tỉnh sẽ = NPL tỉnh đó</t>
  </si>
  <si>
    <t>NPL af WO</t>
  </si>
  <si>
    <t>Tỷ lệ nợ xấu sau write off</t>
  </si>
  <si>
    <t>Tổng điểm xếp hạng 1</t>
  </si>
  <si>
    <t>Xếp hạng các chỉ số LTN,PSDN,active card và NPL bef WO</t>
  </si>
  <si>
    <t>Các chỉ tiêu LTN,PSDN và aprove rate lấy từ cao -&gt; thấp, chỉ tiêu NPL ngược lại</t>
  </si>
  <si>
    <t>Xếp hạng 1</t>
  </si>
  <si>
    <t>Dựa trên điểm xếp hạng dòng 10 xếp hạng lại lấy từ thấp đến cao</t>
  </si>
  <si>
    <t>Tổng thu nhập từ hoạt động thẻ</t>
  </si>
  <si>
    <t>B=sum(B1:B5)</t>
  </si>
  <si>
    <t>KT</t>
  </si>
  <si>
    <t>GL Data</t>
  </si>
  <si>
    <t>lấy theo đầu kế toán với account_code thuộc : 702000030002, 702000030001,702000030102</t>
  </si>
  <si>
    <t>Dựa vào Analysis code để map tới tỉnh/thành phố tương ứng, VD: dòng GL có mã DVML.02.H.28.POS_9 : số 28 tương ứng với TP HCM</t>
  </si>
  <si>
    <t>Cộng các mã có cấu trúc AAA.BB.C.DD.EEE -&gt; phân bổ về từng khu vưc jtheo DNCK bình quân sau WO - nhóm 1</t>
  </si>
  <si>
    <t>Lấy (Rule 1 + Rule 2) ra kết quả theo khu vực</t>
  </si>
  <si>
    <t>B2</t>
  </si>
  <si>
    <t>lấy theo đầu kế toán với account_code thuộc : 702000030012, 702000030112</t>
  </si>
  <si>
    <t>Dựa vào Analysis code để map tới tỉnh/thành phố tương ứng, VD: dòng GL có mã DVML.02.H.28.POS_9: số 28 tương ứng với TP HCM</t>
  </si>
  <si>
    <t>Cộng các mã có cấu trúc AAA.BB.C.DD.EEE -&gt; phân bổ về từng khu vực theo DNCK (dư nợ cuối kỳ) bình quân sau WO - nhóm 2</t>
  </si>
  <si>
    <t>B1</t>
  </si>
  <si>
    <t>Phí bảo hiểm</t>
  </si>
  <si>
    <t>lấy theo đầu kế toán với account_code thuộc :  '716000000001</t>
  </si>
  <si>
    <t>Cộng các mã có cấu trúc AAA.BB.C.DD.EEE -&gt; phân bổ về từng khu vực theo số lượng thẻ PSDN</t>
  </si>
  <si>
    <t>B3</t>
  </si>
  <si>
    <t>lấy theo đầu kế toán với account_code thuộc :  '719000030002</t>
  </si>
  <si>
    <t>Cộng các mã có cấu trúc AAA.BB.C.DD.EEE -&gt; phân bổ về từng khu vực theo DNCK bình quân sau WO - nhóm 1</t>
  </si>
  <si>
    <t>B4</t>
  </si>
  <si>
    <t>Phí thanh toán chậm, thu từ ngoại bảng</t>
  </si>
  <si>
    <t>lấy theo đầu kế toán với account_code thuộc :  719000030003,719000030103,790000030003,790000030103,790000030004,790000030104</t>
  </si>
  <si>
    <t>Cộng các mã có cấu trúc AAA.BB.C.DD.EEE -&gt; phân bổ về từng khu vực theo DNCK bình quân sau WO - nhóm 2-&gt;5</t>
  </si>
  <si>
    <t>B5</t>
  </si>
  <si>
    <t>C=sum(C1:C3)</t>
  </si>
  <si>
    <t>Chi phí CCTG (tk kế toán : 803000000001) * thu nhập hoạt động từ thẻ vay ĐVML / ( doanh thu nguồn vốn toàn hàng + lãi thu từ thẻ vay toàn hàng )</t>
  </si>
  <si>
    <t>Cộng dữ liệu các vùng HEAD và V1-&gt;V3, phân bổ về tỉnh theo tỉ lệ số dư CK sau WO LK</t>
  </si>
  <si>
    <t>Từ tỉnh/thành phố -&gt; phân bổ đến từng SM theo số lượng SM trong khu vực</t>
  </si>
  <si>
    <t>C1</t>
  </si>
  <si>
    <t>CP vốn TT1</t>
  </si>
  <si>
    <t>Chi phí vốn TT1 (tk kế toán : '802000000002','802000000003','802014000001','802037000001' ) *  thu nhập hoạt động từ thẻ vay ĐVML / ( doanh thu nguồn vốn toàn hàng + lãi thu từ thẻ vay toàn hàng )</t>
  </si>
  <si>
    <t>C2</t>
  </si>
  <si>
    <t>CP vốn TT2</t>
  </si>
  <si>
    <t>Chi phí vốn TT2 ( tk kế toán : '801000000001','802000000001' ) *  thu nhập hoạt động từ thẻ vay ĐVML / ( doanh thu nguồn vốn toàn hàng + lãi thu từ thẻ vay toàn hàng )</t>
  </si>
  <si>
    <t>C3</t>
  </si>
  <si>
    <t>D=sum(D1:D3)</t>
  </si>
  <si>
    <t>CP hoa hồng</t>
  </si>
  <si>
    <t>lấy theo đầu kế toán với account_code thuộc :  816000000001,816000000002,816000000003</t>
  </si>
  <si>
    <t>Cộng các mã có cấu trúc AAA.BB.C.DD.EEE -&gt; phân bổ về từng khu vực theo DNCK bình quân sau WO</t>
  </si>
  <si>
    <t>D1</t>
  </si>
  <si>
    <t>CP thuần KD khác</t>
  </si>
  <si>
    <t>lấy theo đầu kế toán với account_code thuộc :  809000000002,809000000001,811000000001,811000000102,811000000002,811014000001,811037000001,811039000001,811041000001,815000000001,819000000002,819000000003,819000000001,790000000003,790000050101,790000000101,790037000001,849000000001,899000000003,899000000002,811000000101,819000060001</t>
  </si>
  <si>
    <t>D2</t>
  </si>
  <si>
    <t>DT kinh doanh</t>
  </si>
  <si>
    <t>lấy theo đầu kế toán với account_code thuộc :  702000010001,702000010002,704000000001,705000000001,709000000001,714000000002,714000000003,714037000001,714000000004,714014000001,715000000001,715037000001,719000000001,709000000101,719000000101</t>
  </si>
  <si>
    <t>D3</t>
  </si>
  <si>
    <t>E=B+C+D</t>
  </si>
  <si>
    <t>F=sum(F1:F4)</t>
  </si>
  <si>
    <t>lấy theo đầu kế toán với account_code thuộc :  831000000001,831000000002,832000000101,832000000001,831000000102</t>
  </si>
  <si>
    <t>Cộng các mã có cấu trúc AAA.BB.C.DD.EEE -&gt; phân bổ về từng khu vực theo Số lượng SM của tỉnh đó</t>
  </si>
  <si>
    <t>F1</t>
  </si>
  <si>
    <t>lấy theo đầu kế toán với account_code thuộc :  85x</t>
  </si>
  <si>
    <t>F2</t>
  </si>
  <si>
    <t>lấy theo đầu kế toán với account_code thuộc :  86x</t>
  </si>
  <si>
    <t>F3</t>
  </si>
  <si>
    <t>lấy theo đầu kế toán với account_code thuộc :  87x</t>
  </si>
  <si>
    <t>F4</t>
  </si>
  <si>
    <t>Dự phòng cho vay: 790000050001, 882200050001, 790000030001, 882200030001, 790000000001, 790000020101, 882200000001, 882200050101, 882200020101, 882200060001,790000050101 882200030101</t>
  </si>
  <si>
    <t>Cộng các mã có cấu trúc AAA.BB.C.DD.EEE -&gt; Phân bổ theo tỷ lệ SDCK bình quân lũy kế truớc wo nhóm 2 -&gt;5  final</t>
  </si>
  <si>
    <t>Lợi nhuận trước thuế</t>
  </si>
  <si>
    <t>Là lợi nhuận thu được sau khi trừ toàn bộ chi phí. Chưa tính thuế thu nhập doanh nghiệp.</t>
  </si>
  <si>
    <t>A=E+F+G</t>
  </si>
  <si>
    <t>Tổng doanh thu</t>
  </si>
  <si>
    <t>Là tổng tất cả nguồn thu nhập</t>
  </si>
  <si>
    <t>H=B+D3</t>
  </si>
  <si>
    <t>Số lượng SM</t>
  </si>
  <si>
    <t>Raw data PTKD cung cấp hàng tháng</t>
  </si>
  <si>
    <t>J</t>
  </si>
  <si>
    <t>CIR</t>
  </si>
  <si>
    <t>CIR của Tỉnh</t>
  </si>
  <si>
    <t>F/E</t>
  </si>
  <si>
    <t>Margin</t>
  </si>
  <si>
    <t>Lợi nhuận trước thuế / tổng thu nhập</t>
  </si>
  <si>
    <t>A/H</t>
  </si>
  <si>
    <t>HS/vốn (%)</t>
  </si>
  <si>
    <t>Là khả năng lợi nhuận thu được so với chi phí trả lãi từ huy động vốn bỏ ra</t>
  </si>
  <si>
    <t>A/C</t>
  </si>
  <si>
    <t>Năng suất bình quân/Nhân sự</t>
  </si>
  <si>
    <t>Bình quân lợi nhuận chia cho từng nhân sự cùng trực thuộc 1 cấp quản lý.</t>
  </si>
  <si>
    <t>A/J</t>
  </si>
  <si>
    <t>Tổng điểm xếp hạng 2</t>
  </si>
  <si>
    <t>Xếp hạng các chỉ số CIR,Margin,HS/Vốn, NSBQ/nhân sự</t>
  </si>
  <si>
    <t>Các chỉ tiêu margin,Hs/vốn, NSBQ/nhân sự lấy từ cao -&gt; thấp, chỉ tiêu CIR ngược lại</t>
  </si>
  <si>
    <t>Xếp hạng 2</t>
  </si>
  <si>
    <t>Dựa trên điểm xếp hạng dòng 25 xếp hạng lại lấy từ thấp đến cao</t>
  </si>
  <si>
    <t>Tổng điểm xếp hạng 3</t>
  </si>
  <si>
    <t>Cộng tổng điểm XH 1 và 2</t>
  </si>
  <si>
    <t>Xếp hạng 3</t>
  </si>
  <si>
    <t>xếp hạng tổng điểm XH 1 và 2 từ thấp -&gt; cao</t>
  </si>
  <si>
    <t>Chi tiêu</t>
  </si>
  <si>
    <t>Nguyên tắc phân bổ</t>
  </si>
  <si>
    <t>Lợi nhuận trước thuế (A)</t>
  </si>
  <si>
    <t>I. Thu nhập từ hoạt động thẻ (I)</t>
  </si>
  <si>
    <t>=Sum (1) +(2) +(3) +(4)+(5)</t>
  </si>
  <si>
    <t>Lãi trong hạn (1)</t>
  </si>
  <si>
    <t>Phân bổ theo tỷ lệ SDCK bình quân sau WO nhóm 1 - final ( để đơn giản hoá bài toán chỉ lấy nhóm 1 final. Thực tế sẽ phải áp dụng theo nhóm nợ period mà doanh nghiệp phân nhỏ ra nữa )</t>
  </si>
  <si>
    <t>Lãi quá hạn (2)</t>
  </si>
  <si>
    <t>Phân bổ theo tỷ lệ SDCK bình quân sau WO nhóm 2 Final</t>
  </si>
  <si>
    <t>Phí Bảo hiểm (3)</t>
  </si>
  <si>
    <t xml:space="preserve">Phân bổ theo tỷ lệ Thẻ PSDN </t>
  </si>
  <si>
    <t>Phí tăng hạn mức (4)</t>
  </si>
  <si>
    <t>Phí thanh toán chậm, thu từ ngoại bảng, khác… (5)</t>
  </si>
  <si>
    <t>Phân bổ theo tỷ lệ SDCK bình quân sau wo nhóm 2 -&gt;5  final</t>
  </si>
  <si>
    <t>II. Chi phí thuần KDV (II)</t>
  </si>
  <si>
    <t>= Sum (6) +(7)+(8)+(9)</t>
  </si>
  <si>
    <t>DT Nguồn vốn (6)</t>
  </si>
  <si>
    <t>Phần này ĐVML số  = 0. Tuy nhiên cần số này để phân bổ được tỉ lệ CP Vốn cho các ĐVML. Đầu GL lấy DT Nguồn vốn : '702000040001','702000040002','703000000001','703000000002','703000000003','703000000004', '721000000041','721000000037','721000000039','721000000013','721000000014','721000000036','723000000014', '723000000037','821000000014','821000000037','821000000039','821000000041','821000000013','821000000036',
	        '823000000014','823000000037','741031000001','741031000002','841000000001','841000000005','841000000004',
	        '701000000001','701000000002','701037000001','701037000002','701000000101'</t>
  </si>
  <si>
    <t>CP vốn TT 2 (7)</t>
  </si>
  <si>
    <t>CP vốn TT 1 (8)</t>
  </si>
  <si>
    <t>CP vốn CCTG (9)</t>
  </si>
  <si>
    <t>III. Chi phí thuần hoạt động khác</t>
  </si>
  <si>
    <t>= Sum (10) +(11)+(12)+(13)+(14)+(15)</t>
  </si>
  <si>
    <t>DT Fintech (10)</t>
  </si>
  <si>
    <t>Phần này ĐVML số  = 0</t>
  </si>
  <si>
    <t>DT tiểu thương, cá nhân (11)</t>
  </si>
  <si>
    <t>DT Kinh doanh (12)</t>
  </si>
  <si>
    <t>Phân bổ theo tỷ lệ SDCK bình quân sau wo</t>
  </si>
  <si>
    <t>CP hoa hồng (13)</t>
  </si>
  <si>
    <t>CP thuần KD khác  (14)</t>
  </si>
  <si>
    <t>CP hợp tác kd tàu (net) (15)</t>
  </si>
  <si>
    <t>=Sum (I) +(II) +(III)</t>
  </si>
  <si>
    <t>=Sum (16) +(17) +(18) +(19)</t>
  </si>
  <si>
    <t>CP thuế, phí (16)</t>
  </si>
  <si>
    <t xml:space="preserve">Phân bổ theo tỷ lệ số lượng nhân viên </t>
  </si>
  <si>
    <t>CP nhân viên (17)</t>
  </si>
  <si>
    <t>CP quản lý (18)</t>
  </si>
  <si>
    <t>CP tài sản (19)</t>
  </si>
  <si>
    <t>Phân bổ theo tỷ lệ SDCK bình quân lũy kế truớc wo nhóm 2 -&gt;5  final</t>
  </si>
  <si>
    <t>Từ viết tắt</t>
  </si>
  <si>
    <t>Ý nghĩa viết tắt</t>
  </si>
  <si>
    <t>BaocaoTonghop_T2</t>
  </si>
  <si>
    <t>DVML</t>
  </si>
  <si>
    <t>Đơn vị mạng lưới</t>
  </si>
  <si>
    <t>Chi phí thuần Kinh doanh vốn</t>
  </si>
  <si>
    <t>CP vốn TT 2, CP vốn TT 1</t>
  </si>
  <si>
    <t>Chi phí vốn Thị Trường 2, Chi phí vốn Thị Trường 1</t>
  </si>
  <si>
    <t>Chi phí Chứng Chỉ Tiền Gửi</t>
  </si>
  <si>
    <t>Doanh Thu từ FinTech</t>
  </si>
  <si>
    <t>Param</t>
  </si>
  <si>
    <t>Mã cấu trúc về Transaction trong General Ledger</t>
  </si>
  <si>
    <t>Area Sales Manager</t>
  </si>
  <si>
    <t>Mô tả nghiệp vụ</t>
  </si>
  <si>
    <t>Phát triển kinh doanh</t>
  </si>
  <si>
    <t>NPL</t>
  </si>
  <si>
    <t>WO</t>
  </si>
  <si>
    <t>District Sale Manager</t>
  </si>
  <si>
    <t>Phát sinh dư nợ</t>
  </si>
  <si>
    <t>POS</t>
  </si>
  <si>
    <t>Point of Sale</t>
  </si>
  <si>
    <t>HS</t>
  </si>
  <si>
    <t>Hiệu suất</t>
  </si>
  <si>
    <t>SDCK</t>
  </si>
  <si>
    <t>Số dư cuối kì</t>
  </si>
  <si>
    <t>GL</t>
  </si>
  <si>
    <t>General Ledger</t>
  </si>
  <si>
    <t>BQ</t>
  </si>
  <si>
    <t>Bình quân</t>
  </si>
  <si>
    <t>SM</t>
  </si>
  <si>
    <t>Sales manager</t>
  </si>
  <si>
    <t>fact_txn</t>
  </si>
  <si>
    <t>Thu khac - Phi khong thanh toan MAD - DVML</t>
  </si>
  <si>
    <t>Thu khac - Phi khong thanh toan Min Amount Due - Đơn Vị Mạng Lưới</t>
  </si>
  <si>
    <t>Cac khoan chi dong gop khac theo che do - BHTN - DVML</t>
  </si>
  <si>
    <t>Cac khoan chi dong gop khac theo che do - Bảo Hiểm Thất Nghiệp - Đơn Vị Mạng Lưới</t>
  </si>
  <si>
    <t>Tra lai phat hanh GTCG bang VND - HEAD</t>
  </si>
  <si>
    <t>Tra lai phat hanh Giấy Tờ Có Giá bang VND - Hội Sở</t>
  </si>
  <si>
    <t>Thu lai tu dau tu CK - TP TCTD - HEAD</t>
  </si>
  <si>
    <t>Thu lai tu dau tu Chứng Khoán - Trái Phiếu Tổ Chức Tín Dụng - Hội Sở</t>
  </si>
  <si>
    <t>BaocaoXepHangASM_T2</t>
  </si>
  <si>
    <t xml:space="preserve">Non performance loan trước Write off luỹ kế từ đầu năm. Số liệu này được tính toán như sau : (dư nợ nhóm 3,4,5 ( npl ) sau write off tại tháng xét + số tiền wo luỹ kế từ đầu năm đến tháng xét )  / (dư nợ tổng sau write off tại tháng xét + số tiền wo luỹ kế từ đầu năm đến tháng xét ) </t>
  </si>
  <si>
    <r>
      <t xml:space="preserve">Cost to Income Ratio : </t>
    </r>
    <r>
      <rPr>
        <sz val="11"/>
        <color theme="9"/>
        <rFont val="&quot;Aptos Narrow&quot;"/>
      </rPr>
      <t>là một chỉ số tài chính quan trọng dùng để đo lường mức độ hiệu quả hoạt động của ngân hàng.</t>
    </r>
  </si>
  <si>
    <r>
      <t xml:space="preserve">Write off : </t>
    </r>
    <r>
      <rPr>
        <sz val="11"/>
        <color theme="9"/>
        <rFont val="&quot;Aptos Narrow&quot;"/>
      </rPr>
      <t>xóa sổ, ghi giảm, tức là khi một khoản nợ/ tài sản không còn khả năng thu hồi hoặc không còn giá trị thì công ty/ngân hàng sẽ ghi nhận tổn thất và xóa khỏi sổ sách kế toán.</t>
    </r>
  </si>
  <si>
    <t>Min Amount Due : Số tiền thanh toán tối thiểu mà khách hàng bắt buộc phải trả cho ngân hàng trong kỳ sao kê, để tránh bị xem là quá hạn.</t>
  </si>
  <si>
    <r>
      <t xml:space="preserve">Non performance loan: </t>
    </r>
    <r>
      <rPr>
        <sz val="11"/>
        <color theme="9"/>
        <rFont val="&quot;Aptos Narrow&quot;"/>
      </rPr>
      <t>là khoản vay mà khách hàng không trả được gốc /hoặc lãi đúng hạn theo hợp đồng.</t>
    </r>
  </si>
  <si>
    <t xml:space="preserve">Số lượng SM tính theo số lượng nhân sự phụ trách từng POS thuộc một BM ( Branch Manager - tương ứng với 1 tỉnh ) </t>
  </si>
  <si>
    <t>báo cáo sai anh - đồng băng sông hồng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</si>
</sst>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37">
    <font>
      <sz val="11"/>
      <color theme="1"/>
      <name val="Calibri"/>
      <scheme val="minor"/>
    </font>
    <font>
      <sz val="14"/>
      <color theme="1"/>
      <name val="Calibri"/>
      <family val="2"/>
    </font>
    <font>
      <b/>
      <sz val="14"/>
      <color theme="0"/>
      <name val="Calibri"/>
      <family val="2"/>
    </font>
    <font>
      <sz val="11"/>
      <name val="Calibri"/>
      <family val="2"/>
    </font>
    <font>
      <b/>
      <sz val="14"/>
      <color theme="0"/>
      <name val="Arial"/>
      <family val="2"/>
    </font>
    <font>
      <b/>
      <sz val="10"/>
      <color theme="1"/>
      <name val="Arial"/>
      <family val="2"/>
    </font>
    <font>
      <sz val="11"/>
      <color theme="1"/>
      <name val="Calibri"/>
      <family val="2"/>
    </font>
    <font>
      <b/>
      <sz val="11"/>
      <color theme="0"/>
      <name val="Calibri"/>
      <family val="2"/>
    </font>
    <font>
      <b/>
      <sz val="11"/>
      <color theme="1"/>
      <name val="Calibri"/>
      <family val="2"/>
    </font>
    <font>
      <b/>
      <i/>
      <sz val="9"/>
      <color theme="1"/>
      <name val="Arial"/>
      <family val="2"/>
    </font>
    <font>
      <b/>
      <i/>
      <sz val="9"/>
      <color rgb="FF000000"/>
      <name val="Arial"/>
      <family val="2"/>
    </font>
    <font>
      <i/>
      <sz val="9"/>
      <color theme="1"/>
      <name val="Arial"/>
      <family val="2"/>
    </font>
    <font>
      <i/>
      <sz val="9"/>
      <color rgb="FF000000"/>
      <name val="Arial"/>
      <family val="2"/>
    </font>
    <font>
      <sz val="10"/>
      <color rgb="FF000000"/>
      <name val="Arial"/>
      <family val="2"/>
    </font>
    <font>
      <i/>
      <sz val="10"/>
      <color theme="1"/>
      <name val="Arial"/>
      <family val="2"/>
    </font>
    <font>
      <i/>
      <sz val="10"/>
      <color rgb="FF000000"/>
      <name val="Arial"/>
      <family val="2"/>
    </font>
    <font>
      <b/>
      <sz val="10"/>
      <color rgb="FF000000"/>
      <name val="Arial"/>
      <family val="2"/>
    </font>
    <font>
      <sz val="10"/>
      <color theme="1"/>
      <name val="Arial"/>
      <family val="2"/>
    </font>
    <font>
      <sz val="11"/>
      <color theme="1"/>
      <name val="Calibri"/>
      <family val="2"/>
      <scheme val="minor"/>
    </font>
    <font>
      <b/>
      <sz val="11"/>
      <color rgb="FF3F3F3F"/>
      <name val="Calibri"/>
      <family val="2"/>
    </font>
    <font>
      <u/>
      <sz val="11"/>
      <color theme="10"/>
      <name val="Calibri"/>
      <family val="2"/>
    </font>
    <font>
      <b/>
      <sz val="11"/>
      <color rgb="FF000000"/>
      <name val="Calibri"/>
      <family val="2"/>
    </font>
    <font>
      <sz val="11"/>
      <color rgb="FF000000"/>
      <name val="Calibri"/>
      <family val="2"/>
    </font>
    <font>
      <b/>
      <sz val="11"/>
      <color rgb="FFFF0000"/>
      <name val="Calibri"/>
      <family val="2"/>
    </font>
    <font>
      <sz val="10"/>
      <color theme="0"/>
      <name val="Quattrocento Sans"/>
    </font>
    <font>
      <sz val="10"/>
      <color rgb="FF374151"/>
      <name val="Quattrocento Sans"/>
    </font>
    <font>
      <b/>
      <i/>
      <sz val="11"/>
      <color theme="1"/>
      <name val="Calibri"/>
      <family val="2"/>
    </font>
    <font>
      <sz val="11"/>
      <color rgb="FFFFFFFF"/>
      <name val="Calibri"/>
      <family val="2"/>
    </font>
    <font>
      <b/>
      <sz val="11"/>
      <color rgb="FF0000FF"/>
      <name val="Calibri"/>
      <family val="2"/>
    </font>
    <font>
      <sz val="11"/>
      <color rgb="FFFF0000"/>
      <name val="Calibri"/>
      <family val="2"/>
    </font>
    <font>
      <i/>
      <sz val="11"/>
      <color theme="1"/>
      <name val="Calibri"/>
      <family val="2"/>
    </font>
    <font>
      <sz val="11"/>
      <color rgb="FF000000"/>
      <name val="&quot;Aptos Narrow&quot;"/>
    </font>
    <font>
      <b/>
      <i/>
      <sz val="11"/>
      <color rgb="FF000000"/>
      <name val="&quot;Aptos Narrow&quot;"/>
    </font>
    <font>
      <sz val="11"/>
      <color rgb="FF000000"/>
      <name val="Arial"/>
      <family val="2"/>
    </font>
    <font>
      <b/>
      <sz val="11"/>
      <color rgb="FF222222"/>
      <name val="&quot;Google Sans&quot;"/>
    </font>
    <font>
      <sz val="11"/>
      <color theme="9"/>
      <name val="&quot;Aptos Narrow&quot;"/>
    </font>
    <font>
      <b/>
      <sz val="11"/>
      <color theme="1"/>
      <name val="Calibri"/>
      <family val="2"/>
      <scheme val="minor"/>
    </font>
  </fonts>
  <fills count="21">
    <fill>
      <patternFill patternType="none"/>
    </fill>
    <fill>
      <patternFill patternType="gray125"/>
    </fill>
    <fill>
      <patternFill patternType="solid">
        <fgColor theme="4"/>
        <bgColor theme="4"/>
      </patternFill>
    </fill>
    <fill>
      <patternFill patternType="solid">
        <fgColor rgb="FFFFFF00"/>
        <bgColor rgb="FFFFFF00"/>
      </patternFill>
    </fill>
    <fill>
      <patternFill patternType="solid">
        <fgColor rgb="FFD9E2F3"/>
        <bgColor rgb="FFD9E2F3"/>
      </patternFill>
    </fill>
    <fill>
      <patternFill patternType="solid">
        <fgColor rgb="FFD6DCE4"/>
        <bgColor rgb="FFD6DCE4"/>
      </patternFill>
    </fill>
    <fill>
      <patternFill patternType="solid">
        <fgColor theme="5"/>
        <bgColor theme="5"/>
      </patternFill>
    </fill>
    <fill>
      <patternFill patternType="solid">
        <fgColor rgb="FFD0CECE"/>
        <bgColor rgb="FFD0CECE"/>
      </patternFill>
    </fill>
    <fill>
      <patternFill patternType="solid">
        <fgColor theme="9"/>
        <bgColor theme="9"/>
      </patternFill>
    </fill>
    <fill>
      <patternFill patternType="solid">
        <fgColor rgb="FFE2EFD9"/>
        <bgColor rgb="FFE2EFD9"/>
      </patternFill>
    </fill>
    <fill>
      <patternFill patternType="solid">
        <fgColor rgb="FFECECEC"/>
        <bgColor rgb="FFECECEC"/>
      </patternFill>
    </fill>
    <fill>
      <patternFill patternType="solid">
        <fgColor rgb="FFFFF2CC"/>
        <bgColor rgb="FFFFF2CC"/>
      </patternFill>
    </fill>
    <fill>
      <patternFill patternType="solid">
        <fgColor theme="7"/>
        <bgColor theme="7"/>
      </patternFill>
    </fill>
    <fill>
      <patternFill patternType="solid">
        <fgColor rgb="FFFEF2CB"/>
        <bgColor rgb="FFFEF2CB"/>
      </patternFill>
    </fill>
    <fill>
      <patternFill patternType="solid">
        <fgColor theme="8"/>
        <bgColor theme="8"/>
      </patternFill>
    </fill>
    <fill>
      <patternFill patternType="solid">
        <fgColor rgb="FFE7E6E6"/>
        <bgColor rgb="FFE7E6E6"/>
      </patternFill>
    </fill>
    <fill>
      <patternFill patternType="solid">
        <fgColor rgb="FFFBE4D5"/>
        <bgColor rgb="FFFBE4D5"/>
      </patternFill>
    </fill>
    <fill>
      <patternFill patternType="solid">
        <fgColor rgb="FF0000FF"/>
        <bgColor rgb="FF0000FF"/>
      </patternFill>
    </fill>
    <fill>
      <patternFill patternType="solid">
        <fgColor rgb="FFE1E9F7"/>
        <bgColor rgb="FFE1E9F7"/>
      </patternFill>
    </fill>
    <fill>
      <patternFill patternType="solid">
        <fgColor rgb="FFFFFF00"/>
        <bgColor indexed="64"/>
      </patternFill>
    </fill>
    <fill>
      <patternFill patternType="solid">
        <fgColor rgb="FF92D050"/>
        <bgColor indexed="64"/>
      </patternFill>
    </fill>
  </fills>
  <borders count="35">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163">
    <xf numFmtId="0" fontId="0" fillId="0" borderId="0" xfId="0"/>
    <xf numFmtId="0" fontId="1" fillId="0" borderId="0" xfId="0" applyFont="1" applyAlignment="1">
      <alignment vertical="center"/>
    </xf>
    <xf numFmtId="0" fontId="1" fillId="3" borderId="4" xfId="0" applyFont="1" applyFill="1" applyBorder="1" applyAlignment="1">
      <alignment vertical="center"/>
    </xf>
    <xf numFmtId="0" fontId="5" fillId="4" borderId="4" xfId="0" applyFont="1" applyFill="1" applyBorder="1"/>
    <xf numFmtId="0" fontId="6" fillId="3" borderId="4" xfId="0" applyFont="1" applyFill="1" applyBorder="1"/>
    <xf numFmtId="0" fontId="5" fillId="5" borderId="4" xfId="0" applyFont="1" applyFill="1" applyBorder="1"/>
    <xf numFmtId="0" fontId="5" fillId="2" borderId="4" xfId="0" applyFont="1" applyFill="1" applyBorder="1"/>
    <xf numFmtId="164" fontId="7" fillId="6" borderId="4" xfId="0" applyNumberFormat="1" applyFont="1" applyFill="1" applyBorder="1"/>
    <xf numFmtId="164" fontId="8" fillId="7" borderId="4" xfId="0" applyNumberFormat="1" applyFont="1" applyFill="1" applyBorder="1"/>
    <xf numFmtId="164" fontId="9" fillId="8" borderId="4" xfId="0" applyNumberFormat="1" applyFont="1" applyFill="1" applyBorder="1"/>
    <xf numFmtId="164" fontId="10" fillId="9" borderId="4" xfId="0" applyNumberFormat="1" applyFont="1" applyFill="1" applyBorder="1"/>
    <xf numFmtId="164" fontId="11" fillId="10" borderId="4" xfId="0" applyNumberFormat="1" applyFont="1" applyFill="1" applyBorder="1"/>
    <xf numFmtId="164" fontId="12" fillId="11" borderId="4" xfId="0" applyNumberFormat="1" applyFont="1" applyFill="1" applyBorder="1"/>
    <xf numFmtId="43" fontId="13" fillId="11" borderId="4" xfId="0" applyNumberFormat="1" applyFont="1" applyFill="1" applyBorder="1"/>
    <xf numFmtId="164" fontId="13" fillId="11" borderId="4" xfId="0" applyNumberFormat="1" applyFont="1" applyFill="1" applyBorder="1"/>
    <xf numFmtId="0" fontId="5" fillId="8" borderId="4" xfId="0" applyFont="1" applyFill="1" applyBorder="1"/>
    <xf numFmtId="0" fontId="14" fillId="10" borderId="4" xfId="0" applyFont="1" applyFill="1" applyBorder="1"/>
    <xf numFmtId="164" fontId="15" fillId="11" borderId="4" xfId="0" applyNumberFormat="1" applyFont="1" applyFill="1" applyBorder="1"/>
    <xf numFmtId="164" fontId="16" fillId="9" borderId="4" xfId="0" applyNumberFormat="1" applyFont="1" applyFill="1" applyBorder="1"/>
    <xf numFmtId="0" fontId="5" fillId="12" borderId="4" xfId="0" applyFont="1" applyFill="1" applyBorder="1"/>
    <xf numFmtId="0" fontId="16" fillId="12" borderId="4" xfId="0" applyFont="1" applyFill="1" applyBorder="1"/>
    <xf numFmtId="0" fontId="13" fillId="12" borderId="4" xfId="0" applyFont="1" applyFill="1" applyBorder="1"/>
    <xf numFmtId="0" fontId="5" fillId="6" borderId="4" xfId="0" applyFont="1" applyFill="1" applyBorder="1"/>
    <xf numFmtId="0" fontId="13" fillId="6" borderId="4" xfId="0" applyFont="1" applyFill="1" applyBorder="1"/>
    <xf numFmtId="10" fontId="17" fillId="13" borderId="4" xfId="0" applyNumberFormat="1" applyFont="1" applyFill="1" applyBorder="1"/>
    <xf numFmtId="165" fontId="17" fillId="13" borderId="4" xfId="0" applyNumberFormat="1" applyFont="1" applyFill="1" applyBorder="1"/>
    <xf numFmtId="43" fontId="17" fillId="13" borderId="4" xfId="0" applyNumberFormat="1" applyFont="1" applyFill="1" applyBorder="1"/>
    <xf numFmtId="0" fontId="8" fillId="15" borderId="4" xfId="0" applyFont="1" applyFill="1" applyBorder="1"/>
    <xf numFmtId="0" fontId="8" fillId="9" borderId="4" xfId="0" applyFont="1" applyFill="1" applyBorder="1"/>
    <xf numFmtId="0" fontId="7" fillId="14" borderId="4" xfId="0" applyFont="1" applyFill="1" applyBorder="1"/>
    <xf numFmtId="0" fontId="8" fillId="16" borderId="4" xfId="0" applyFont="1" applyFill="1" applyBorder="1"/>
    <xf numFmtId="0" fontId="8" fillId="4" borderId="4" xfId="0" applyFont="1" applyFill="1" applyBorder="1"/>
    <xf numFmtId="0" fontId="7" fillId="8" borderId="4" xfId="0" applyFont="1" applyFill="1" applyBorder="1"/>
    <xf numFmtId="3" fontId="6" fillId="0" borderId="0" xfId="0" applyNumberFormat="1" applyFont="1"/>
    <xf numFmtId="0" fontId="18" fillId="0" borderId="0" xfId="0" applyFont="1"/>
    <xf numFmtId="0" fontId="19" fillId="0" borderId="0" xfId="0" applyFont="1"/>
    <xf numFmtId="0" fontId="8" fillId="0" borderId="0" xfId="0" applyFont="1"/>
    <xf numFmtId="4" fontId="6" fillId="0" borderId="0" xfId="0" applyNumberFormat="1" applyFont="1"/>
    <xf numFmtId="0" fontId="8" fillId="7" borderId="4" xfId="0" applyFont="1" applyFill="1" applyBorder="1"/>
    <xf numFmtId="0" fontId="8" fillId="7" borderId="9" xfId="0" applyFont="1" applyFill="1" applyBorder="1"/>
    <xf numFmtId="0" fontId="20" fillId="0" borderId="0" xfId="0" applyFont="1"/>
    <xf numFmtId="0" fontId="21" fillId="3" borderId="9" xfId="0" applyFont="1" applyFill="1" applyBorder="1" applyAlignment="1">
      <alignment vertical="center"/>
    </xf>
    <xf numFmtId="0" fontId="8" fillId="3" borderId="4" xfId="0" applyFont="1" applyFill="1" applyBorder="1"/>
    <xf numFmtId="0" fontId="7" fillId="2" borderId="4" xfId="0" applyFont="1" applyFill="1" applyBorder="1"/>
    <xf numFmtId="0" fontId="22" fillId="0" borderId="9" xfId="0" applyFont="1" applyBorder="1" applyAlignment="1">
      <alignment vertical="center"/>
    </xf>
    <xf numFmtId="0" fontId="6" fillId="0" borderId="0" xfId="0" quotePrefix="1" applyFont="1"/>
    <xf numFmtId="0" fontId="23" fillId="3" borderId="9" xfId="0" applyFont="1" applyFill="1" applyBorder="1" applyAlignment="1">
      <alignment horizontal="center" vertical="center"/>
    </xf>
    <xf numFmtId="0" fontId="23" fillId="3" borderId="9" xfId="0" applyFont="1" applyFill="1" applyBorder="1" applyAlignment="1">
      <alignment vertical="center"/>
    </xf>
    <xf numFmtId="0" fontId="24" fillId="8" borderId="4" xfId="0" applyFont="1" applyFill="1" applyBorder="1" applyAlignment="1">
      <alignment horizontal="left" vertical="center"/>
    </xf>
    <xf numFmtId="0" fontId="6" fillId="0" borderId="9" xfId="0" applyFont="1" applyBorder="1" applyAlignment="1">
      <alignment vertical="center"/>
    </xf>
    <xf numFmtId="0" fontId="22" fillId="0" borderId="9" xfId="0" applyFont="1" applyBorder="1" applyAlignment="1">
      <alignment horizontal="center" vertical="center"/>
    </xf>
    <xf numFmtId="0" fontId="25" fillId="10" borderId="4" xfId="0" applyFont="1" applyFill="1" applyBorder="1" applyAlignment="1">
      <alignment horizontal="left" vertical="center"/>
    </xf>
    <xf numFmtId="0" fontId="6" fillId="0" borderId="0" xfId="0" applyFont="1" applyAlignment="1">
      <alignment vertical="center"/>
    </xf>
    <xf numFmtId="0" fontId="21" fillId="3" borderId="9" xfId="0" applyFont="1" applyFill="1" applyBorder="1" applyAlignment="1">
      <alignment horizontal="center" vertical="center"/>
    </xf>
    <xf numFmtId="0" fontId="8" fillId="3" borderId="9" xfId="0" applyFont="1" applyFill="1" applyBorder="1" applyAlignment="1">
      <alignment vertical="center"/>
    </xf>
    <xf numFmtId="0" fontId="22" fillId="0" borderId="0" xfId="0" applyFont="1" applyAlignment="1">
      <alignment vertical="center"/>
    </xf>
    <xf numFmtId="0" fontId="6" fillId="0" borderId="9" xfId="0" quotePrefix="1" applyFont="1" applyBorder="1" applyAlignment="1">
      <alignment horizontal="center" vertical="center"/>
    </xf>
    <xf numFmtId="0" fontId="8" fillId="0" borderId="0" xfId="0" applyFont="1" applyAlignment="1">
      <alignment horizontal="center" vertical="center"/>
    </xf>
    <xf numFmtId="0" fontId="21" fillId="0" borderId="0" xfId="0" applyFont="1" applyAlignment="1">
      <alignment vertical="center"/>
    </xf>
    <xf numFmtId="0" fontId="6" fillId="0" borderId="0" xfId="0" applyFont="1" applyAlignment="1">
      <alignment horizontal="center" vertical="center"/>
    </xf>
    <xf numFmtId="0" fontId="27" fillId="17" borderId="9" xfId="0" applyFont="1" applyFill="1" applyBorder="1" applyAlignment="1">
      <alignment horizontal="center" vertical="center"/>
    </xf>
    <xf numFmtId="0" fontId="27" fillId="17" borderId="9" xfId="0" applyFont="1" applyFill="1" applyBorder="1" applyAlignment="1">
      <alignment vertical="center"/>
    </xf>
    <xf numFmtId="0" fontId="6" fillId="0" borderId="9" xfId="0" applyFont="1" applyBorder="1" applyAlignment="1">
      <alignment horizontal="center" vertical="center"/>
    </xf>
    <xf numFmtId="0" fontId="8" fillId="0" borderId="9" xfId="0" applyFont="1" applyBorder="1" applyAlignment="1">
      <alignment vertical="center"/>
    </xf>
    <xf numFmtId="0" fontId="6" fillId="0" borderId="0" xfId="0" applyFont="1"/>
    <xf numFmtId="0" fontId="22" fillId="0" borderId="9" xfId="0" applyFont="1" applyBorder="1" applyAlignment="1">
      <alignment vertical="center" wrapText="1"/>
    </xf>
    <xf numFmtId="0" fontId="25" fillId="0" borderId="0" xfId="0" applyFont="1" applyAlignment="1">
      <alignment horizontal="left" vertical="center"/>
    </xf>
    <xf numFmtId="0" fontId="24" fillId="0" borderId="0" xfId="0" applyFont="1" applyAlignment="1">
      <alignment horizontal="left" vertical="center"/>
    </xf>
    <xf numFmtId="0" fontId="7" fillId="2" borderId="21" xfId="0" applyFont="1" applyFill="1" applyBorder="1" applyAlignment="1">
      <alignment horizontal="left" vertical="center" wrapText="1"/>
    </xf>
    <xf numFmtId="15" fontId="7" fillId="2" borderId="22" xfId="0" applyNumberFormat="1" applyFont="1" applyFill="1" applyBorder="1" applyAlignment="1">
      <alignment horizontal="left" vertical="center" wrapText="1"/>
    </xf>
    <xf numFmtId="15" fontId="7" fillId="2" borderId="23" xfId="0" applyNumberFormat="1" applyFont="1" applyFill="1" applyBorder="1" applyAlignment="1">
      <alignment horizontal="left" vertical="center" wrapText="1"/>
    </xf>
    <xf numFmtId="0" fontId="6" fillId="0" borderId="0" xfId="0" applyFont="1" applyAlignment="1">
      <alignment horizontal="left" vertical="center" wrapText="1"/>
    </xf>
    <xf numFmtId="0" fontId="8" fillId="0" borderId="24" xfId="0" applyFont="1" applyBorder="1" applyAlignment="1">
      <alignment horizontal="left" vertical="center" wrapText="1"/>
    </xf>
    <xf numFmtId="15" fontId="8" fillId="0" borderId="25" xfId="0" applyNumberFormat="1" applyFont="1" applyBorder="1" applyAlignment="1">
      <alignment horizontal="left" vertical="center" wrapText="1"/>
    </xf>
    <xf numFmtId="0" fontId="28" fillId="0" borderId="9" xfId="0" applyFont="1" applyBorder="1" applyAlignment="1">
      <alignment horizontal="left" vertical="center" wrapText="1"/>
    </xf>
    <xf numFmtId="0" fontId="28" fillId="0" borderId="26" xfId="0" applyFont="1" applyBorder="1" applyAlignment="1">
      <alignment horizontal="left" vertical="center" wrapText="1"/>
    </xf>
    <xf numFmtId="15" fontId="7" fillId="0" borderId="25" xfId="0" applyNumberFormat="1" applyFont="1" applyBorder="1" applyAlignment="1">
      <alignment horizontal="left" vertical="center" wrapText="1"/>
    </xf>
    <xf numFmtId="0" fontId="8" fillId="0" borderId="27" xfId="0" applyFont="1" applyBorder="1" applyAlignment="1">
      <alignment horizontal="left" vertical="center" wrapText="1"/>
    </xf>
    <xf numFmtId="15" fontId="8" fillId="0" borderId="9" xfId="0" applyNumberFormat="1" applyFont="1" applyBorder="1" applyAlignment="1">
      <alignment horizontal="left" vertical="center" wrapText="1"/>
    </xf>
    <xf numFmtId="0" fontId="6" fillId="0" borderId="9" xfId="0" applyFont="1" applyBorder="1" applyAlignment="1">
      <alignment horizontal="left" vertical="center" wrapText="1"/>
    </xf>
    <xf numFmtId="0" fontId="8" fillId="0" borderId="9" xfId="0" applyFont="1" applyBorder="1" applyAlignment="1">
      <alignment horizontal="left" vertical="center" wrapText="1"/>
    </xf>
    <xf numFmtId="0" fontId="23" fillId="0" borderId="9" xfId="0" applyFont="1" applyBorder="1" applyAlignment="1">
      <alignment horizontal="left" vertical="center" wrapText="1"/>
    </xf>
    <xf numFmtId="0" fontId="6" fillId="0" borderId="9" xfId="0" quotePrefix="1" applyFont="1" applyBorder="1" applyAlignment="1">
      <alignment horizontal="left" vertical="center" wrapText="1"/>
    </xf>
    <xf numFmtId="0" fontId="23" fillId="0" borderId="26" xfId="0" applyFont="1" applyBorder="1" applyAlignment="1">
      <alignment horizontal="left" vertical="center" wrapText="1"/>
    </xf>
    <xf numFmtId="0" fontId="29" fillId="0" borderId="9" xfId="0" applyFont="1" applyBorder="1" applyAlignment="1">
      <alignment horizontal="left" vertical="center" wrapText="1"/>
    </xf>
    <xf numFmtId="0" fontId="8" fillId="3" borderId="27" xfId="0" applyFont="1" applyFill="1" applyBorder="1" applyAlignment="1">
      <alignment horizontal="left" vertical="center" wrapText="1"/>
    </xf>
    <xf numFmtId="0" fontId="8" fillId="3" borderId="9" xfId="0" applyFont="1" applyFill="1" applyBorder="1" applyAlignment="1">
      <alignment horizontal="left" vertical="center" wrapText="1"/>
    </xf>
    <xf numFmtId="0" fontId="23" fillId="3" borderId="9" xfId="0" applyFont="1" applyFill="1" applyBorder="1" applyAlignment="1">
      <alignment horizontal="left" vertical="center" wrapText="1"/>
    </xf>
    <xf numFmtId="0" fontId="23" fillId="3" borderId="26"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0" borderId="27" xfId="0" applyFont="1" applyBorder="1" applyAlignment="1">
      <alignment horizontal="left" vertical="center" wrapText="1"/>
    </xf>
    <xf numFmtId="0" fontId="30" fillId="0" borderId="9" xfId="0" applyFont="1" applyBorder="1" applyAlignment="1">
      <alignment horizontal="left" vertical="center" wrapText="1"/>
    </xf>
    <xf numFmtId="0" fontId="26" fillId="0" borderId="9" xfId="0" applyFont="1" applyBorder="1" applyAlignment="1">
      <alignment horizontal="left" vertical="center" wrapText="1"/>
    </xf>
    <xf numFmtId="0" fontId="23" fillId="0" borderId="9" xfId="0" quotePrefix="1" applyFont="1" applyBorder="1" applyAlignment="1">
      <alignment horizontal="left" vertical="center" wrapText="1"/>
    </xf>
    <xf numFmtId="0" fontId="8" fillId="0" borderId="26" xfId="0" applyFont="1" applyBorder="1" applyAlignment="1">
      <alignment horizontal="left" vertical="center" wrapText="1"/>
    </xf>
    <xf numFmtId="0" fontId="29" fillId="3" borderId="9" xfId="0" applyFont="1" applyFill="1" applyBorder="1" applyAlignment="1">
      <alignment horizontal="left" vertical="center" wrapText="1"/>
    </xf>
    <xf numFmtId="0" fontId="29" fillId="3" borderId="26" xfId="0" applyFont="1" applyFill="1" applyBorder="1" applyAlignment="1">
      <alignment horizontal="left" vertical="center" wrapText="1"/>
    </xf>
    <xf numFmtId="0" fontId="29" fillId="0" borderId="26" xfId="0" applyFont="1" applyBorder="1" applyAlignment="1">
      <alignment horizontal="left" vertical="center" wrapText="1"/>
    </xf>
    <xf numFmtId="0" fontId="8" fillId="3" borderId="28" xfId="0" applyFont="1" applyFill="1" applyBorder="1" applyAlignment="1">
      <alignment horizontal="left" vertical="center" wrapText="1"/>
    </xf>
    <xf numFmtId="0" fontId="8" fillId="3" borderId="29" xfId="0" applyFont="1" applyFill="1" applyBorder="1" applyAlignment="1">
      <alignment horizontal="left" vertical="center" wrapText="1"/>
    </xf>
    <xf numFmtId="0" fontId="29" fillId="3" borderId="29" xfId="0" applyFont="1" applyFill="1" applyBorder="1" applyAlignment="1">
      <alignment horizontal="left" vertical="center" wrapText="1"/>
    </xf>
    <xf numFmtId="0" fontId="29" fillId="3" borderId="30" xfId="0" applyFont="1" applyFill="1" applyBorder="1" applyAlignment="1">
      <alignment horizontal="left" vertical="center" wrapText="1"/>
    </xf>
    <xf numFmtId="0" fontId="7" fillId="8" borderId="9" xfId="0" applyFont="1" applyFill="1" applyBorder="1"/>
    <xf numFmtId="0" fontId="21" fillId="0" borderId="9" xfId="0" applyFont="1" applyBorder="1"/>
    <xf numFmtId="0" fontId="6" fillId="0" borderId="9" xfId="0" applyFont="1" applyBorder="1"/>
    <xf numFmtId="0" fontId="21" fillId="0" borderId="9" xfId="0" quotePrefix="1" applyFont="1" applyBorder="1"/>
    <xf numFmtId="0" fontId="22" fillId="0" borderId="9" xfId="0" applyFont="1" applyBorder="1"/>
    <xf numFmtId="0" fontId="6" fillId="0" borderId="9" xfId="0" applyFont="1" applyBorder="1" applyAlignment="1">
      <alignment wrapText="1"/>
    </xf>
    <xf numFmtId="0" fontId="31" fillId="0" borderId="0" xfId="0" applyFont="1"/>
    <xf numFmtId="0" fontId="32" fillId="0" borderId="9" xfId="0" applyFont="1" applyBorder="1" applyAlignment="1">
      <alignment horizontal="center"/>
    </xf>
    <xf numFmtId="0" fontId="32" fillId="0" borderId="8" xfId="0" applyFont="1" applyBorder="1" applyAlignment="1">
      <alignment horizontal="center"/>
    </xf>
    <xf numFmtId="0" fontId="31" fillId="0" borderId="25" xfId="0" applyFont="1" applyBorder="1"/>
    <xf numFmtId="0" fontId="31" fillId="0" borderId="32" xfId="0" applyFont="1" applyBorder="1"/>
    <xf numFmtId="0" fontId="33" fillId="0" borderId="32" xfId="0" applyFont="1" applyBorder="1"/>
    <xf numFmtId="0" fontId="33" fillId="0" borderId="25" xfId="0" applyFont="1" applyBorder="1"/>
    <xf numFmtId="0" fontId="34" fillId="18" borderId="0" xfId="0" applyFont="1" applyFill="1"/>
    <xf numFmtId="0" fontId="18" fillId="0" borderId="0" xfId="0" applyFont="1" applyAlignment="1">
      <alignment wrapText="1"/>
    </xf>
    <xf numFmtId="10" fontId="0" fillId="0" borderId="0" xfId="0" applyNumberFormat="1"/>
    <xf numFmtId="164" fontId="0" fillId="0" borderId="0" xfId="0" applyNumberFormat="1"/>
    <xf numFmtId="0" fontId="18" fillId="19" borderId="0" xfId="0" applyFont="1" applyFill="1"/>
    <xf numFmtId="3" fontId="6" fillId="19" borderId="0" xfId="0" applyNumberFormat="1" applyFont="1" applyFill="1"/>
    <xf numFmtId="0" fontId="19" fillId="19" borderId="0" xfId="0" applyFont="1" applyFill="1"/>
    <xf numFmtId="0" fontId="8" fillId="19" borderId="0" xfId="0" applyFont="1" applyFill="1"/>
    <xf numFmtId="4" fontId="6" fillId="19" borderId="0" xfId="0" applyNumberFormat="1" applyFont="1" applyFill="1"/>
    <xf numFmtId="0" fontId="0" fillId="19" borderId="0" xfId="0" applyFill="1"/>
    <xf numFmtId="3" fontId="22" fillId="0" borderId="0" xfId="0" applyNumberFormat="1" applyFont="1" applyAlignment="1">
      <alignment vertical="center"/>
    </xf>
    <xf numFmtId="3" fontId="0" fillId="0" borderId="0" xfId="0" applyNumberFormat="1"/>
    <xf numFmtId="3" fontId="6" fillId="20" borderId="0" xfId="0" applyNumberFormat="1" applyFont="1" applyFill="1"/>
    <xf numFmtId="0" fontId="18" fillId="20" borderId="0" xfId="0" applyFont="1" applyFill="1"/>
    <xf numFmtId="0" fontId="19" fillId="20" borderId="0" xfId="0" applyFont="1" applyFill="1"/>
    <xf numFmtId="0" fontId="8" fillId="20" borderId="0" xfId="0" applyFont="1" applyFill="1"/>
    <xf numFmtId="4" fontId="6" fillId="20" borderId="0" xfId="0" applyNumberFormat="1" applyFont="1" applyFill="1"/>
    <xf numFmtId="0" fontId="0" fillId="20" borderId="0" xfId="0" applyFill="1"/>
    <xf numFmtId="0" fontId="0" fillId="0" borderId="0" xfId="0" applyAlignment="1">
      <alignment horizontal="left" vertical="center" indent="1"/>
    </xf>
    <xf numFmtId="0" fontId="36" fillId="0" borderId="0" xfId="0" applyFont="1" applyAlignment="1">
      <alignment horizontal="left" vertical="center" indent="1"/>
    </xf>
    <xf numFmtId="0" fontId="0" fillId="0" borderId="0" xfId="0" applyAlignment="1">
      <alignment horizontal="left" vertical="center" indent="2"/>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4" fillId="2" borderId="5" xfId="0" applyFont="1" applyFill="1" applyBorder="1" applyAlignment="1">
      <alignment horizontal="center" vertical="center"/>
    </xf>
    <xf numFmtId="0" fontId="2" fillId="14" borderId="1" xfId="0" applyFont="1" applyFill="1" applyBorder="1" applyAlignment="1">
      <alignment horizontal="center" vertical="center"/>
    </xf>
    <xf numFmtId="0" fontId="2" fillId="6" borderId="1" xfId="0" applyFont="1" applyFill="1" applyBorder="1" applyAlignment="1">
      <alignment horizontal="center" vertical="center"/>
    </xf>
    <xf numFmtId="0" fontId="7" fillId="2" borderId="6" xfId="0" applyFont="1" applyFill="1" applyBorder="1" applyAlignment="1">
      <alignment horizontal="center" vertical="center"/>
    </xf>
    <xf numFmtId="0" fontId="3" fillId="0" borderId="7" xfId="0" applyFont="1" applyBorder="1"/>
    <xf numFmtId="0" fontId="3" fillId="0" borderId="8" xfId="0" applyFont="1" applyBorder="1"/>
    <xf numFmtId="0" fontId="7" fillId="12" borderId="6" xfId="0" applyFont="1" applyFill="1" applyBorder="1" applyAlignment="1">
      <alignment horizontal="center" vertical="center"/>
    </xf>
    <xf numFmtId="0" fontId="7" fillId="14" borderId="10" xfId="0" applyFont="1" applyFill="1" applyBorder="1" applyAlignment="1">
      <alignment horizontal="center"/>
    </xf>
    <xf numFmtId="0" fontId="3" fillId="0" borderId="11" xfId="0" applyFont="1" applyBorder="1"/>
    <xf numFmtId="0" fontId="3" fillId="0" borderId="12" xfId="0" applyFont="1" applyBorder="1"/>
    <xf numFmtId="0" fontId="26" fillId="9" borderId="13" xfId="0" quotePrefix="1" applyFont="1" applyFill="1" applyBorder="1" applyAlignment="1">
      <alignment horizontal="center" vertical="center" wrapText="1"/>
    </xf>
    <xf numFmtId="0" fontId="3" fillId="0" borderId="14" xfId="0" applyFont="1" applyBorder="1"/>
    <xf numFmtId="0" fontId="3" fillId="0" borderId="15" xfId="0" applyFont="1" applyBorder="1"/>
    <xf numFmtId="0" fontId="3" fillId="0" borderId="16" xfId="0" applyFont="1" applyBorder="1"/>
    <xf numFmtId="0" fontId="0" fillId="0" borderId="0" xfId="0"/>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8" fillId="3" borderId="0" xfId="0" applyFont="1" applyFill="1" applyAlignment="1">
      <alignment horizontal="center" vertical="center"/>
    </xf>
    <xf numFmtId="0" fontId="31" fillId="3" borderId="31" xfId="0" applyFont="1" applyFill="1" applyBorder="1" applyAlignment="1">
      <alignment horizontal="center"/>
    </xf>
    <xf numFmtId="0" fontId="3" fillId="0" borderId="33" xfId="0" applyFont="1" applyBorder="1"/>
    <xf numFmtId="0" fontId="3" fillId="0" borderId="34" xfId="0" applyFont="1" applyBorder="1"/>
    <xf numFmtId="0" fontId="31" fillId="3" borderId="3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mailto:thuy.lethu@hocnghiepvu.com" TargetMode="External"/><Relationship Id="rId1" Type="http://schemas.openxmlformats.org/officeDocument/2006/relationships/hyperlink" Target="mailto:huong.lethu@hocnghiepvu.com"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3" zoomScaleNormal="100" workbookViewId="0">
      <pane xSplit="6" topLeftCell="G1" activePane="topRight" state="frozen"/>
      <selection pane="topRight" activeCell="P23" sqref="P23"/>
    </sheetView>
  </sheetViews>
  <sheetFormatPr defaultColWidth="14.44140625" defaultRowHeight="15" customHeight="1"/>
  <cols>
    <col min="1" max="1" width="37.44140625" customWidth="1"/>
    <col min="2" max="2" width="9.5546875" customWidth="1"/>
    <col min="3" max="3" width="8.88671875" customWidth="1"/>
    <col min="4" max="4" width="9.44140625" customWidth="1"/>
    <col min="5" max="5" width="10.6640625" customWidth="1"/>
    <col min="6" max="6" width="11.109375" customWidth="1"/>
    <col min="7" max="7" width="3.33203125" customWidth="1"/>
    <col min="8" max="8" width="12.5546875" customWidth="1"/>
    <col min="9" max="9" width="11" customWidth="1"/>
    <col min="10" max="14" width="14.109375" customWidth="1"/>
    <col min="15" max="15" width="9.5546875" customWidth="1"/>
    <col min="16" max="16" width="14.109375" bestFit="1" customWidth="1"/>
    <col min="17" max="26" width="8.6640625" customWidth="1"/>
  </cols>
  <sheetData>
    <row r="1" spans="1:26" ht="21" customHeight="1">
      <c r="A1" s="1"/>
      <c r="B1" s="136" t="s">
        <v>0</v>
      </c>
      <c r="C1" s="137"/>
      <c r="D1" s="137"/>
      <c r="E1" s="137"/>
      <c r="F1" s="138"/>
      <c r="G1" s="2"/>
      <c r="H1" s="139" t="s">
        <v>1</v>
      </c>
      <c r="I1" s="137"/>
      <c r="J1" s="137"/>
      <c r="K1" s="137"/>
      <c r="L1" s="137"/>
      <c r="M1" s="137"/>
      <c r="N1" s="138"/>
      <c r="O1" s="1"/>
      <c r="P1" s="1"/>
      <c r="Q1" s="1"/>
      <c r="R1" s="1"/>
      <c r="S1" s="1"/>
      <c r="T1" s="1"/>
      <c r="U1" s="1"/>
      <c r="V1" s="1"/>
      <c r="W1" s="1"/>
      <c r="X1" s="1"/>
      <c r="Y1" s="1"/>
      <c r="Z1" s="1"/>
    </row>
    <row r="2" spans="1:26" ht="14.25" customHeight="1">
      <c r="B2" s="3" t="s">
        <v>2</v>
      </c>
      <c r="C2" s="3" t="s">
        <v>3</v>
      </c>
      <c r="D2" s="3" t="s">
        <v>4</v>
      </c>
      <c r="E2" s="3" t="s">
        <v>5</v>
      </c>
      <c r="F2" s="3" t="s">
        <v>6</v>
      </c>
      <c r="G2" s="4"/>
      <c r="H2" s="5" t="s">
        <v>7</v>
      </c>
      <c r="I2" s="5" t="s">
        <v>8</v>
      </c>
      <c r="J2" s="5" t="s">
        <v>9</v>
      </c>
      <c r="K2" s="5" t="s">
        <v>10</v>
      </c>
      <c r="L2" s="5" t="s">
        <v>11</v>
      </c>
      <c r="M2" s="5" t="s">
        <v>12</v>
      </c>
      <c r="N2" s="5" t="s">
        <v>13</v>
      </c>
      <c r="O2" s="5" t="s">
        <v>6</v>
      </c>
    </row>
    <row r="3" spans="1:26" ht="14.25" customHeight="1">
      <c r="A3" s="6" t="s">
        <v>14</v>
      </c>
      <c r="B3" s="7">
        <f t="shared" ref="B3:F3" si="0">SUM(B22+B23+B28)</f>
        <v>-144625.47175899998</v>
      </c>
      <c r="C3" s="7">
        <f t="shared" si="0"/>
        <v>0</v>
      </c>
      <c r="D3" s="7">
        <f t="shared" si="0"/>
        <v>0</v>
      </c>
      <c r="E3" s="7">
        <f t="shared" si="0"/>
        <v>0</v>
      </c>
      <c r="F3" s="7">
        <f t="shared" si="0"/>
        <v>-144625.47175899998</v>
      </c>
      <c r="G3" s="4"/>
      <c r="H3" s="7">
        <f t="shared" ref="H3:N3" si="1">SUM(H22+H23+H28)</f>
        <v>6222.8574026428905</v>
      </c>
      <c r="I3" s="7">
        <f t="shared" si="1"/>
        <v>425.2283823116959</v>
      </c>
      <c r="J3" s="7">
        <f t="shared" si="1"/>
        <v>19322.930074935233</v>
      </c>
      <c r="K3" s="7">
        <f t="shared" si="1"/>
        <v>4193.910822431124</v>
      </c>
      <c r="L3" s="7">
        <f t="shared" si="1"/>
        <v>17318.799632174305</v>
      </c>
      <c r="M3" s="7">
        <f t="shared" si="1"/>
        <v>65117.991204164442</v>
      </c>
      <c r="N3" s="7">
        <f t="shared" si="1"/>
        <v>-20375.379540367954</v>
      </c>
      <c r="O3" s="8">
        <f t="shared" ref="O3:O34" si="2">SUM(H3:N3)</f>
        <v>92226.337978291733</v>
      </c>
    </row>
    <row r="4" spans="1:26" ht="14.25" customHeight="1">
      <c r="A4" s="9" t="s">
        <v>15</v>
      </c>
      <c r="B4" s="10">
        <f t="shared" ref="B4:F4" si="3">SUM(B5:B9)</f>
        <v>9149.9923769999987</v>
      </c>
      <c r="C4" s="10">
        <f t="shared" si="3"/>
        <v>0</v>
      </c>
      <c r="D4" s="10">
        <f t="shared" si="3"/>
        <v>0</v>
      </c>
      <c r="E4" s="10">
        <f t="shared" si="3"/>
        <v>0</v>
      </c>
      <c r="F4" s="10">
        <f t="shared" si="3"/>
        <v>9149.9923769999987</v>
      </c>
      <c r="G4" s="4"/>
      <c r="H4" s="10">
        <f t="shared" ref="H4:N4" si="4">SUM(H5:H9)</f>
        <v>77783.5237642172</v>
      </c>
      <c r="I4" s="10">
        <f t="shared" si="4"/>
        <v>43498.186793144923</v>
      </c>
      <c r="J4" s="10">
        <f t="shared" si="4"/>
        <v>102868.42220050932</v>
      </c>
      <c r="K4" s="10">
        <f t="shared" si="4"/>
        <v>21071.063419657148</v>
      </c>
      <c r="L4" s="10">
        <f t="shared" si="4"/>
        <v>58856.826608503914</v>
      </c>
      <c r="M4" s="10">
        <f t="shared" si="4"/>
        <v>272049.1341494518</v>
      </c>
      <c r="N4" s="10">
        <f t="shared" si="4"/>
        <v>114475.31039151493</v>
      </c>
      <c r="O4" s="8">
        <f t="shared" si="2"/>
        <v>690602.46732699929</v>
      </c>
    </row>
    <row r="5" spans="1:26" ht="14.25" customHeight="1">
      <c r="A5" s="11" t="s">
        <v>16</v>
      </c>
      <c r="B5" s="12">
        <v>6599.6884700000001</v>
      </c>
      <c r="C5" s="12">
        <v>0</v>
      </c>
      <c r="D5" s="12">
        <v>0</v>
      </c>
      <c r="E5" s="12">
        <v>0</v>
      </c>
      <c r="F5" s="12">
        <f t="shared" ref="F5:F9" si="5">SUM(B5:E5)</f>
        <v>6599.6884700000001</v>
      </c>
      <c r="G5" s="4"/>
      <c r="H5" s="13">
        <v>71210.401715683896</v>
      </c>
      <c r="I5" s="13">
        <v>40355.250939224898</v>
      </c>
      <c r="J5" s="13">
        <v>96090.675423847599</v>
      </c>
      <c r="K5" s="13">
        <v>19821.345728601998</v>
      </c>
      <c r="L5" s="13">
        <v>54410.054073667001</v>
      </c>
      <c r="M5" s="13">
        <v>252252.87348333601</v>
      </c>
      <c r="N5" s="13">
        <v>104784.917684638</v>
      </c>
      <c r="O5" s="8">
        <f t="shared" si="2"/>
        <v>638925.5190489993</v>
      </c>
      <c r="P5" s="126"/>
    </row>
    <row r="6" spans="1:26" ht="14.25" customHeight="1">
      <c r="A6" s="11" t="s">
        <v>17</v>
      </c>
      <c r="B6" s="12">
        <v>13.591737</v>
      </c>
      <c r="C6" s="12">
        <v>0</v>
      </c>
      <c r="D6" s="12">
        <v>0</v>
      </c>
      <c r="E6" s="12">
        <v>0</v>
      </c>
      <c r="F6" s="12">
        <f t="shared" si="5"/>
        <v>13.591737</v>
      </c>
      <c r="G6" s="4"/>
      <c r="H6" s="13">
        <v>64.191654442406403</v>
      </c>
      <c r="I6" s="13">
        <v>55.514989303778101</v>
      </c>
      <c r="J6" s="13">
        <v>87.499119596097302</v>
      </c>
      <c r="K6" s="13">
        <v>0.76280801117628705</v>
      </c>
      <c r="L6" s="13">
        <v>53.187353552248503</v>
      </c>
      <c r="M6" s="13">
        <v>63.407211717898598</v>
      </c>
      <c r="N6" s="13">
        <v>233.44861937639399</v>
      </c>
      <c r="O6" s="8">
        <f t="shared" si="2"/>
        <v>558.0117559999992</v>
      </c>
      <c r="P6" s="126"/>
    </row>
    <row r="7" spans="1:26" ht="14.25" customHeight="1">
      <c r="A7" s="11" t="s">
        <v>18</v>
      </c>
      <c r="B7" s="12">
        <v>361.54148300000003</v>
      </c>
      <c r="C7" s="12">
        <v>0</v>
      </c>
      <c r="D7" s="12">
        <v>0</v>
      </c>
      <c r="E7" s="12">
        <v>0</v>
      </c>
      <c r="F7" s="12">
        <f t="shared" si="5"/>
        <v>361.54148300000003</v>
      </c>
      <c r="G7" s="4"/>
      <c r="H7" s="14">
        <v>2248.7816470315101</v>
      </c>
      <c r="I7" s="14">
        <v>574.17810543783901</v>
      </c>
      <c r="J7" s="14">
        <v>944.20773897814001</v>
      </c>
      <c r="K7" s="14">
        <v>60.962181164213803</v>
      </c>
      <c r="L7" s="14">
        <v>1325.95838619253</v>
      </c>
      <c r="M7" s="14">
        <v>3895.33502147635</v>
      </c>
      <c r="N7" s="14">
        <v>2485.0067427193999</v>
      </c>
      <c r="O7" s="8">
        <f t="shared" si="2"/>
        <v>11534.429822999984</v>
      </c>
      <c r="P7" s="126"/>
    </row>
    <row r="8" spans="1:26" ht="14.25" customHeight="1">
      <c r="A8" s="11" t="s">
        <v>19</v>
      </c>
      <c r="B8" s="12">
        <v>1874.8936610000001</v>
      </c>
      <c r="C8" s="12">
        <v>0</v>
      </c>
      <c r="D8" s="12">
        <v>0</v>
      </c>
      <c r="E8" s="12">
        <v>0</v>
      </c>
      <c r="F8" s="12">
        <f t="shared" si="5"/>
        <v>1874.8936610000001</v>
      </c>
      <c r="G8" s="4"/>
      <c r="H8" s="13">
        <v>3625.4257555928102</v>
      </c>
      <c r="I8" s="13">
        <v>2113.5320180762901</v>
      </c>
      <c r="J8" s="13">
        <v>5004.3899577843704</v>
      </c>
      <c r="K8" s="13">
        <v>1039.66061805296</v>
      </c>
      <c r="L8" s="13">
        <v>2789.61449836262</v>
      </c>
      <c r="M8" s="13">
        <v>12950.5722621567</v>
      </c>
      <c r="N8" s="13">
        <v>5490.8596629741496</v>
      </c>
      <c r="O8" s="8">
        <f t="shared" si="2"/>
        <v>33014.054772999902</v>
      </c>
      <c r="P8" s="126"/>
    </row>
    <row r="9" spans="1:26" ht="14.25" customHeight="1">
      <c r="A9" s="11" t="s">
        <v>20</v>
      </c>
      <c r="B9" s="12">
        <v>300.27702599999998</v>
      </c>
      <c r="C9" s="12">
        <v>0</v>
      </c>
      <c r="D9" s="12">
        <v>0</v>
      </c>
      <c r="E9" s="12">
        <v>0</v>
      </c>
      <c r="F9" s="12">
        <f t="shared" si="5"/>
        <v>300.27702599999998</v>
      </c>
      <c r="G9" s="4"/>
      <c r="H9" s="14">
        <v>634.72299146657997</v>
      </c>
      <c r="I9" s="14">
        <v>399.71074110211498</v>
      </c>
      <c r="J9" s="14">
        <v>741.64996030312602</v>
      </c>
      <c r="K9" s="14">
        <v>148.33208382680201</v>
      </c>
      <c r="L9" s="14">
        <v>278.01229672951899</v>
      </c>
      <c r="M9" s="14">
        <v>2886.9461707648702</v>
      </c>
      <c r="N9" s="14">
        <v>1481.0776818069801</v>
      </c>
      <c r="O9" s="8">
        <f t="shared" si="2"/>
        <v>6570.4519259999915</v>
      </c>
      <c r="P9" s="126"/>
    </row>
    <row r="10" spans="1:26" ht="14.25" customHeight="1">
      <c r="A10" s="9" t="s">
        <v>21</v>
      </c>
      <c r="B10" s="10">
        <f t="shared" ref="B10:F10" si="6">SUM(B11:B14)</f>
        <v>-132141.10739300001</v>
      </c>
      <c r="C10" s="10">
        <f t="shared" si="6"/>
        <v>0</v>
      </c>
      <c r="D10" s="10">
        <f t="shared" si="6"/>
        <v>0</v>
      </c>
      <c r="E10" s="10">
        <f t="shared" si="6"/>
        <v>0</v>
      </c>
      <c r="F10" s="10">
        <f t="shared" si="6"/>
        <v>-132141.10739300001</v>
      </c>
      <c r="G10" s="4"/>
      <c r="H10" s="10">
        <f t="shared" ref="H10:N10" si="7">SUM(H11:H14)</f>
        <v>-15268.66841332548</v>
      </c>
      <c r="I10" s="10">
        <f t="shared" si="7"/>
        <v>-9609.4662795285967</v>
      </c>
      <c r="J10" s="10">
        <f t="shared" si="7"/>
        <v>-19044.086607788169</v>
      </c>
      <c r="K10" s="10">
        <f t="shared" si="7"/>
        <v>-4993.7184037850757</v>
      </c>
      <c r="L10" s="10">
        <f t="shared" si="7"/>
        <v>-9532.2258173308892</v>
      </c>
      <c r="M10" s="10">
        <f t="shared" si="7"/>
        <v>-49542.750943128965</v>
      </c>
      <c r="N10" s="10">
        <f t="shared" si="7"/>
        <v>-24150.190928112577</v>
      </c>
      <c r="O10" s="8">
        <f t="shared" si="2"/>
        <v>-132141.10739299975</v>
      </c>
      <c r="P10" s="126"/>
    </row>
    <row r="11" spans="1:26" ht="14.25" customHeight="1">
      <c r="A11" s="11" t="s">
        <v>22</v>
      </c>
      <c r="B11" s="12">
        <v>0</v>
      </c>
      <c r="C11" s="12">
        <v>0</v>
      </c>
      <c r="D11" s="12">
        <v>0</v>
      </c>
      <c r="E11" s="12">
        <v>0</v>
      </c>
      <c r="F11" s="12">
        <f t="shared" ref="F11:F14" si="8">SUM(B11:E11)</f>
        <v>0</v>
      </c>
      <c r="G11" s="4"/>
      <c r="H11" s="14">
        <v>0</v>
      </c>
      <c r="I11" s="14">
        <v>0</v>
      </c>
      <c r="J11" s="14">
        <v>0</v>
      </c>
      <c r="K11" s="14">
        <v>0</v>
      </c>
      <c r="L11" s="14">
        <v>0</v>
      </c>
      <c r="M11" s="14">
        <v>0</v>
      </c>
      <c r="N11" s="14">
        <v>0</v>
      </c>
      <c r="O11" s="8">
        <f t="shared" si="2"/>
        <v>0</v>
      </c>
      <c r="P11" s="126"/>
    </row>
    <row r="12" spans="1:26" ht="14.25" customHeight="1">
      <c r="A12" s="11" t="s">
        <v>23</v>
      </c>
      <c r="B12" s="12">
        <v>-9320.7116569999998</v>
      </c>
      <c r="C12" s="12">
        <v>0</v>
      </c>
      <c r="D12" s="12">
        <v>0</v>
      </c>
      <c r="E12" s="12">
        <v>0</v>
      </c>
      <c r="F12" s="12">
        <f t="shared" si="8"/>
        <v>-9320.7116569999998</v>
      </c>
      <c r="G12" s="4"/>
      <c r="H12" s="14">
        <v>-1076.99154695058</v>
      </c>
      <c r="I12" s="14">
        <v>-677.81378661198698</v>
      </c>
      <c r="J12" s="14">
        <v>-1343.29463059677</v>
      </c>
      <c r="K12" s="14">
        <v>-352.23716719359498</v>
      </c>
      <c r="L12" s="14">
        <v>-672.36554956749899</v>
      </c>
      <c r="M12" s="14">
        <v>-3494.5499197468698</v>
      </c>
      <c r="N12" s="14">
        <v>-1703.4590563326799</v>
      </c>
      <c r="O12" s="8">
        <f t="shared" si="2"/>
        <v>-9320.7116569999798</v>
      </c>
      <c r="P12" s="126"/>
    </row>
    <row r="13" spans="1:26" ht="14.25" customHeight="1">
      <c r="A13" s="11" t="s">
        <v>24</v>
      </c>
      <c r="B13" s="12">
        <v>0</v>
      </c>
      <c r="C13" s="12">
        <v>0</v>
      </c>
      <c r="D13" s="12">
        <v>0</v>
      </c>
      <c r="E13" s="12">
        <v>0</v>
      </c>
      <c r="F13" s="12">
        <f t="shared" si="8"/>
        <v>0</v>
      </c>
      <c r="G13" s="4"/>
      <c r="H13" s="14">
        <v>0</v>
      </c>
      <c r="I13" s="14">
        <v>0</v>
      </c>
      <c r="J13" s="14">
        <v>0</v>
      </c>
      <c r="K13" s="14">
        <v>0</v>
      </c>
      <c r="L13" s="14">
        <v>0</v>
      </c>
      <c r="M13" s="14">
        <v>0</v>
      </c>
      <c r="N13" s="14">
        <v>0</v>
      </c>
      <c r="O13" s="8">
        <f t="shared" si="2"/>
        <v>0</v>
      </c>
      <c r="P13" s="126"/>
    </row>
    <row r="14" spans="1:26" ht="14.25" customHeight="1">
      <c r="A14" s="11" t="s">
        <v>25</v>
      </c>
      <c r="B14" s="12">
        <v>-122820.39573600001</v>
      </c>
      <c r="C14" s="12">
        <v>0</v>
      </c>
      <c r="D14" s="12">
        <v>0</v>
      </c>
      <c r="E14" s="12">
        <v>0</v>
      </c>
      <c r="F14" s="12">
        <f t="shared" si="8"/>
        <v>-122820.39573600001</v>
      </c>
      <c r="G14" s="4"/>
      <c r="H14" s="14">
        <v>-14191.676866374901</v>
      </c>
      <c r="I14" s="14">
        <v>-8931.6524929166098</v>
      </c>
      <c r="J14" s="14">
        <v>-17700.791977191398</v>
      </c>
      <c r="K14" s="14">
        <v>-4641.4812365914804</v>
      </c>
      <c r="L14" s="14">
        <v>-8859.8602677633899</v>
      </c>
      <c r="M14" s="14">
        <v>-46048.201023382098</v>
      </c>
      <c r="N14" s="14">
        <v>-22446.731871779899</v>
      </c>
      <c r="O14" s="8">
        <f t="shared" si="2"/>
        <v>-122820.39573599977</v>
      </c>
      <c r="P14" s="126"/>
    </row>
    <row r="15" spans="1:26" ht="14.25" customHeight="1">
      <c r="A15" s="9" t="s">
        <v>26</v>
      </c>
      <c r="B15" s="10">
        <f t="shared" ref="B15:F15" si="9">SUM(B16:B21)</f>
        <v>-362.680543</v>
      </c>
      <c r="C15" s="10">
        <f t="shared" si="9"/>
        <v>0</v>
      </c>
      <c r="D15" s="10">
        <f t="shared" si="9"/>
        <v>0</v>
      </c>
      <c r="E15" s="10">
        <f t="shared" si="9"/>
        <v>0</v>
      </c>
      <c r="F15" s="10">
        <f t="shared" si="9"/>
        <v>-362.680543</v>
      </c>
      <c r="G15" s="4"/>
      <c r="H15" s="10">
        <f t="shared" ref="H15:N15" si="10">SUM(H16:H21)</f>
        <v>-5181.9176735088231</v>
      </c>
      <c r="I15" s="10">
        <f t="shared" si="10"/>
        <v>-3283.5795515249997</v>
      </c>
      <c r="J15" s="10">
        <f t="shared" si="10"/>
        <v>-6254.2797154162472</v>
      </c>
      <c r="K15" s="10">
        <f t="shared" si="10"/>
        <v>-1652.270790530024</v>
      </c>
      <c r="L15" s="10">
        <f t="shared" si="10"/>
        <v>-3231.2520771014442</v>
      </c>
      <c r="M15" s="10">
        <f t="shared" si="10"/>
        <v>-16705.224033140817</v>
      </c>
      <c r="N15" s="10">
        <f t="shared" si="10"/>
        <v>-7986.6712404865466</v>
      </c>
      <c r="O15" s="8">
        <f t="shared" si="2"/>
        <v>-44295.195081708902</v>
      </c>
      <c r="P15" s="126"/>
    </row>
    <row r="16" spans="1:26" ht="14.25" customHeight="1">
      <c r="A16" s="11" t="s">
        <v>27</v>
      </c>
      <c r="B16" s="12">
        <v>0</v>
      </c>
      <c r="C16" s="12">
        <v>0</v>
      </c>
      <c r="D16" s="12">
        <v>0</v>
      </c>
      <c r="E16" s="12">
        <v>0</v>
      </c>
      <c r="F16" s="12">
        <f t="shared" ref="F16:F21" si="11">SUM(B16:E16)</f>
        <v>0</v>
      </c>
      <c r="G16" s="4"/>
      <c r="H16" s="14">
        <v>0</v>
      </c>
      <c r="I16" s="14">
        <v>0</v>
      </c>
      <c r="J16" s="14">
        <v>0</v>
      </c>
      <c r="K16" s="14">
        <v>0</v>
      </c>
      <c r="L16" s="14">
        <v>0</v>
      </c>
      <c r="M16" s="14">
        <v>0</v>
      </c>
      <c r="N16" s="14">
        <v>0</v>
      </c>
      <c r="O16" s="8">
        <f t="shared" si="2"/>
        <v>0</v>
      </c>
      <c r="P16" s="126"/>
    </row>
    <row r="17" spans="1:16" ht="14.25" customHeight="1">
      <c r="A17" s="11" t="s">
        <v>28</v>
      </c>
      <c r="B17" s="12">
        <v>0</v>
      </c>
      <c r="C17" s="12">
        <v>0</v>
      </c>
      <c r="D17" s="12">
        <v>0</v>
      </c>
      <c r="E17" s="12">
        <v>0</v>
      </c>
      <c r="F17" s="12">
        <f t="shared" si="11"/>
        <v>0</v>
      </c>
      <c r="G17" s="4"/>
      <c r="H17" s="14">
        <v>0</v>
      </c>
      <c r="I17" s="14">
        <v>0</v>
      </c>
      <c r="J17" s="14">
        <v>0</v>
      </c>
      <c r="K17" s="14">
        <v>0</v>
      </c>
      <c r="L17" s="14">
        <v>0</v>
      </c>
      <c r="M17" s="14">
        <v>0</v>
      </c>
      <c r="N17" s="14">
        <v>0</v>
      </c>
      <c r="O17" s="8">
        <f t="shared" si="2"/>
        <v>0</v>
      </c>
      <c r="P17" s="126"/>
    </row>
    <row r="18" spans="1:16" ht="14.25" customHeight="1">
      <c r="A18" s="11" t="s">
        <v>29</v>
      </c>
      <c r="B18" s="12">
        <v>1.745271</v>
      </c>
      <c r="C18" s="12">
        <v>0</v>
      </c>
      <c r="D18" s="12">
        <v>0</v>
      </c>
      <c r="E18" s="12">
        <v>0</v>
      </c>
      <c r="F18" s="12">
        <f t="shared" si="11"/>
        <v>1.745271</v>
      </c>
      <c r="G18" s="4"/>
      <c r="H18" s="14">
        <v>5.4454499398385403</v>
      </c>
      <c r="I18" s="14">
        <v>3.3918615767626799</v>
      </c>
      <c r="J18" s="14">
        <v>6.6841512706108803</v>
      </c>
      <c r="K18" s="14">
        <v>1.76390919050988</v>
      </c>
      <c r="L18" s="14">
        <v>3.3436741221866102</v>
      </c>
      <c r="M18" s="14">
        <v>17.3518073782889</v>
      </c>
      <c r="N18" s="14">
        <v>8.5828638128476005</v>
      </c>
      <c r="O18" s="8">
        <f t="shared" si="2"/>
        <v>46.563717291045087</v>
      </c>
      <c r="P18" s="126"/>
    </row>
    <row r="19" spans="1:16" ht="14.25" customHeight="1">
      <c r="A19" s="11" t="s">
        <v>30</v>
      </c>
      <c r="B19" s="12">
        <v>-186.65130500000001</v>
      </c>
      <c r="C19" s="12">
        <v>0</v>
      </c>
      <c r="D19" s="12">
        <v>0</v>
      </c>
      <c r="E19" s="12">
        <v>0</v>
      </c>
      <c r="F19" s="12">
        <f t="shared" si="11"/>
        <v>-186.65130500000001</v>
      </c>
      <c r="G19" s="4"/>
      <c r="H19" s="14">
        <v>-74.515640168052101</v>
      </c>
      <c r="I19" s="14">
        <v>-46.315115893832399</v>
      </c>
      <c r="J19" s="14">
        <v>-91.043735247308703</v>
      </c>
      <c r="K19" s="14">
        <v>-24.159440479553801</v>
      </c>
      <c r="L19" s="14">
        <v>-45.283807577291199</v>
      </c>
      <c r="M19" s="14">
        <v>-237.31312410680599</v>
      </c>
      <c r="N19" s="14">
        <v>-116.75043752715401</v>
      </c>
      <c r="O19" s="8">
        <f t="shared" si="2"/>
        <v>-635.38130099999819</v>
      </c>
    </row>
    <row r="20" spans="1:16" ht="14.25" customHeight="1">
      <c r="A20" s="11" t="s">
        <v>31</v>
      </c>
      <c r="B20" s="12">
        <v>-177.77450899999999</v>
      </c>
      <c r="C20" s="12">
        <v>0</v>
      </c>
      <c r="D20" s="12">
        <v>0</v>
      </c>
      <c r="E20" s="12">
        <v>0</v>
      </c>
      <c r="F20" s="12">
        <f t="shared" si="11"/>
        <v>-177.77450899999999</v>
      </c>
      <c r="G20" s="4"/>
      <c r="H20" s="14">
        <v>-5112.8474832806096</v>
      </c>
      <c r="I20" s="14">
        <v>-3240.65629720793</v>
      </c>
      <c r="J20" s="14">
        <v>-6169.9201314395496</v>
      </c>
      <c r="K20" s="14">
        <v>-1629.8752592409801</v>
      </c>
      <c r="L20" s="14">
        <v>-3189.3119436463398</v>
      </c>
      <c r="M20" s="14">
        <v>-16485.262716412301</v>
      </c>
      <c r="N20" s="14">
        <v>-7878.5036667722397</v>
      </c>
      <c r="O20" s="8">
        <f t="shared" si="2"/>
        <v>-43706.377497999951</v>
      </c>
    </row>
    <row r="21" spans="1:16" ht="14.25" customHeight="1">
      <c r="A21" s="11" t="s">
        <v>32</v>
      </c>
      <c r="B21" s="12">
        <v>0</v>
      </c>
      <c r="C21" s="12">
        <v>0</v>
      </c>
      <c r="D21" s="12">
        <v>0</v>
      </c>
      <c r="E21" s="12">
        <v>0</v>
      </c>
      <c r="F21" s="12">
        <f t="shared" si="11"/>
        <v>0</v>
      </c>
      <c r="G21" s="4"/>
      <c r="H21" s="14">
        <v>0</v>
      </c>
      <c r="I21" s="14">
        <v>0</v>
      </c>
      <c r="J21" s="14">
        <v>0</v>
      </c>
      <c r="K21" s="14">
        <v>0</v>
      </c>
      <c r="L21" s="14">
        <v>0</v>
      </c>
      <c r="M21" s="14">
        <v>0</v>
      </c>
      <c r="N21" s="14">
        <v>0</v>
      </c>
      <c r="O21" s="8">
        <f t="shared" si="2"/>
        <v>0</v>
      </c>
    </row>
    <row r="22" spans="1:16" ht="14.25" customHeight="1">
      <c r="A22" s="15" t="s">
        <v>33</v>
      </c>
      <c r="B22" s="10">
        <f t="shared" ref="B22:F22" si="12">SUM(B15,B10,B4)</f>
        <v>-123353.79555900001</v>
      </c>
      <c r="C22" s="10">
        <f t="shared" si="12"/>
        <v>0</v>
      </c>
      <c r="D22" s="10">
        <f t="shared" si="12"/>
        <v>0</v>
      </c>
      <c r="E22" s="10">
        <f t="shared" si="12"/>
        <v>0</v>
      </c>
      <c r="F22" s="10">
        <f t="shared" si="12"/>
        <v>-123353.79555900001</v>
      </c>
      <c r="G22" s="4"/>
      <c r="H22" s="10">
        <f t="shared" ref="H22:N22" si="13">SUM(H15,H10,H4)</f>
        <v>57332.937677382899</v>
      </c>
      <c r="I22" s="10">
        <f t="shared" si="13"/>
        <v>30605.140962091325</v>
      </c>
      <c r="J22" s="10">
        <f t="shared" si="13"/>
        <v>77570.055877304898</v>
      </c>
      <c r="K22" s="10">
        <f t="shared" si="13"/>
        <v>14425.074225342049</v>
      </c>
      <c r="L22" s="10">
        <f t="shared" si="13"/>
        <v>46093.348714071581</v>
      </c>
      <c r="M22" s="10">
        <f t="shared" si="13"/>
        <v>205801.15917318201</v>
      </c>
      <c r="N22" s="10">
        <f t="shared" si="13"/>
        <v>82338.448222915802</v>
      </c>
      <c r="O22" s="8">
        <f t="shared" si="2"/>
        <v>514166.16485229059</v>
      </c>
    </row>
    <row r="23" spans="1:16" ht="14.25" customHeight="1">
      <c r="A23" s="15" t="s">
        <v>34</v>
      </c>
      <c r="B23" s="10">
        <f t="shared" ref="B23:F23" si="14">SUM(B24:B27)</f>
        <v>-16495.675040000002</v>
      </c>
      <c r="C23" s="10">
        <f t="shared" si="14"/>
        <v>0</v>
      </c>
      <c r="D23" s="10">
        <f t="shared" si="14"/>
        <v>0</v>
      </c>
      <c r="E23" s="10">
        <f t="shared" si="14"/>
        <v>0</v>
      </c>
      <c r="F23" s="10">
        <f t="shared" si="14"/>
        <v>-16495.675040000002</v>
      </c>
      <c r="G23" s="4"/>
      <c r="H23" s="10">
        <f t="shared" ref="H23:N23" si="15">SUM(H24:H27)</f>
        <v>-10447.985233863008</v>
      </c>
      <c r="I23" s="10">
        <f t="shared" si="15"/>
        <v>-6966.2893596301283</v>
      </c>
      <c r="J23" s="10">
        <f t="shared" si="15"/>
        <v>-15661.243080123264</v>
      </c>
      <c r="K23" s="10">
        <f t="shared" si="15"/>
        <v>-3949.0298461643747</v>
      </c>
      <c r="L23" s="10">
        <f t="shared" si="15"/>
        <v>-6507.7896871643743</v>
      </c>
      <c r="M23" s="10">
        <f t="shared" si="15"/>
        <v>-30547.389996561582</v>
      </c>
      <c r="N23" s="10">
        <f t="shared" si="15"/>
        <v>-16971.829877493059</v>
      </c>
      <c r="O23" s="8">
        <f t="shared" si="2"/>
        <v>-91051.557080999788</v>
      </c>
    </row>
    <row r="24" spans="1:16" ht="14.25" customHeight="1">
      <c r="A24" s="16" t="s">
        <v>35</v>
      </c>
      <c r="B24" s="12">
        <v>0</v>
      </c>
      <c r="C24" s="12">
        <v>0</v>
      </c>
      <c r="D24" s="12">
        <v>0</v>
      </c>
      <c r="E24" s="12">
        <v>0</v>
      </c>
      <c r="F24" s="12">
        <f t="shared" ref="F24:F28" si="16">SUM(B24:E24)</f>
        <v>0</v>
      </c>
      <c r="G24" s="4"/>
      <c r="H24" s="14">
        <v>0</v>
      </c>
      <c r="I24" s="14">
        <v>0</v>
      </c>
      <c r="J24" s="14">
        <v>0</v>
      </c>
      <c r="K24" s="14">
        <v>0</v>
      </c>
      <c r="L24" s="14">
        <v>0</v>
      </c>
      <c r="M24" s="14">
        <v>0</v>
      </c>
      <c r="N24" s="14">
        <v>0</v>
      </c>
      <c r="O24" s="8">
        <f t="shared" si="2"/>
        <v>0</v>
      </c>
    </row>
    <row r="25" spans="1:16" ht="14.25" customHeight="1">
      <c r="A25" s="16" t="s">
        <v>36</v>
      </c>
      <c r="B25" s="17">
        <v>-15074.158721</v>
      </c>
      <c r="C25" s="12">
        <v>0</v>
      </c>
      <c r="D25" s="12">
        <v>0</v>
      </c>
      <c r="E25" s="12">
        <v>0</v>
      </c>
      <c r="F25" s="12">
        <f t="shared" si="16"/>
        <v>-15074.158721</v>
      </c>
      <c r="G25" s="4"/>
      <c r="H25" s="14">
        <v>-9194.9796075616396</v>
      </c>
      <c r="I25" s="14">
        <v>-6135.3949706164303</v>
      </c>
      <c r="J25" s="14">
        <v>-13861.142981794501</v>
      </c>
      <c r="K25" s="14">
        <v>-3491.5817907260198</v>
      </c>
      <c r="L25" s="14">
        <v>-5729.2637427260197</v>
      </c>
      <c r="M25" s="14">
        <v>-26764.0846433972</v>
      </c>
      <c r="N25" s="14">
        <v>-14949.132842178</v>
      </c>
      <c r="O25" s="8">
        <f t="shared" si="2"/>
        <v>-80125.580578999812</v>
      </c>
    </row>
    <row r="26" spans="1:16" ht="14.25" customHeight="1">
      <c r="A26" s="16" t="s">
        <v>37</v>
      </c>
      <c r="B26" s="17">
        <v>-627.10931300000004</v>
      </c>
      <c r="C26" s="12">
        <v>0</v>
      </c>
      <c r="D26" s="12">
        <v>0</v>
      </c>
      <c r="E26" s="12">
        <v>0</v>
      </c>
      <c r="F26" s="12">
        <f t="shared" si="16"/>
        <v>-627.10931300000004</v>
      </c>
      <c r="G26" s="4"/>
      <c r="H26" s="14">
        <v>-357.09106527397199</v>
      </c>
      <c r="I26" s="14">
        <v>-241.54615173972601</v>
      </c>
      <c r="J26" s="14">
        <v>-547.44430775342403</v>
      </c>
      <c r="K26" s="14">
        <v>-137.27406067123201</v>
      </c>
      <c r="L26" s="14">
        <v>-223.49509567123201</v>
      </c>
      <c r="M26" s="14">
        <v>-1027.71854287671</v>
      </c>
      <c r="N26" s="14">
        <v>-583.07785501369801</v>
      </c>
      <c r="O26" s="8">
        <f t="shared" si="2"/>
        <v>-3117.6470789999944</v>
      </c>
    </row>
    <row r="27" spans="1:16" ht="14.25" customHeight="1">
      <c r="A27" s="16" t="s">
        <v>38</v>
      </c>
      <c r="B27" s="12">
        <v>-794.40700600000002</v>
      </c>
      <c r="C27" s="12">
        <v>0</v>
      </c>
      <c r="D27" s="12">
        <v>0</v>
      </c>
      <c r="E27" s="12">
        <v>0</v>
      </c>
      <c r="F27" s="12">
        <f t="shared" si="16"/>
        <v>-794.40700600000002</v>
      </c>
      <c r="G27" s="4"/>
      <c r="H27" s="14">
        <v>-895.91456102739699</v>
      </c>
      <c r="I27" s="14">
        <v>-589.34823727397202</v>
      </c>
      <c r="J27" s="14">
        <v>-1252.65579057534</v>
      </c>
      <c r="K27" s="14">
        <v>-320.17399476712302</v>
      </c>
      <c r="L27" s="14">
        <v>-555.03084876712296</v>
      </c>
      <c r="M27" s="14">
        <v>-2755.5868102876698</v>
      </c>
      <c r="N27" s="14">
        <v>-1439.6191803013601</v>
      </c>
      <c r="O27" s="8">
        <f t="shared" si="2"/>
        <v>-7808.3294229999838</v>
      </c>
    </row>
    <row r="28" spans="1:16" ht="14.25" customHeight="1">
      <c r="A28" s="15" t="s">
        <v>39</v>
      </c>
      <c r="B28" s="18">
        <v>-4776.0011599999998</v>
      </c>
      <c r="C28" s="18">
        <v>0</v>
      </c>
      <c r="D28" s="18">
        <v>0</v>
      </c>
      <c r="E28" s="18">
        <v>0</v>
      </c>
      <c r="F28" s="10">
        <f t="shared" si="16"/>
        <v>-4776.0011599999998</v>
      </c>
      <c r="G28" s="4"/>
      <c r="H28" s="18">
        <v>-40662.095040877</v>
      </c>
      <c r="I28" s="18">
        <v>-23213.6232201495</v>
      </c>
      <c r="J28" s="18">
        <v>-42585.882722246402</v>
      </c>
      <c r="K28" s="18">
        <v>-6282.1335567465503</v>
      </c>
      <c r="L28" s="18">
        <v>-22266.759394732901</v>
      </c>
      <c r="M28" s="18">
        <v>-110135.777972456</v>
      </c>
      <c r="N28" s="18">
        <v>-85741.997885790697</v>
      </c>
      <c r="O28" s="8">
        <f t="shared" si="2"/>
        <v>-330888.26979299908</v>
      </c>
    </row>
    <row r="29" spans="1:16" ht="14.25" customHeight="1">
      <c r="A29" s="19" t="s">
        <v>40</v>
      </c>
      <c r="F29" s="20">
        <f>SUM(H29:N29)</f>
        <v>73</v>
      </c>
      <c r="G29" s="4"/>
      <c r="H29" s="21">
        <v>8</v>
      </c>
      <c r="I29" s="21">
        <v>7</v>
      </c>
      <c r="J29" s="21">
        <v>22</v>
      </c>
      <c r="K29" s="21">
        <v>5</v>
      </c>
      <c r="L29" s="21">
        <v>5</v>
      </c>
      <c r="M29" s="21">
        <v>11</v>
      </c>
      <c r="N29" s="21">
        <v>15</v>
      </c>
      <c r="O29" s="8">
        <f t="shared" si="2"/>
        <v>73</v>
      </c>
    </row>
    <row r="30" spans="1:16" ht="14.25" customHeight="1">
      <c r="A30" s="22" t="s">
        <v>41</v>
      </c>
      <c r="B30" s="117"/>
      <c r="F30" s="23"/>
      <c r="G30" s="4"/>
      <c r="H30" s="23"/>
      <c r="I30" s="23"/>
      <c r="J30" s="23"/>
      <c r="K30" s="23"/>
      <c r="L30" s="23"/>
      <c r="M30" s="23"/>
      <c r="N30" s="23"/>
      <c r="O30" s="8">
        <f t="shared" si="2"/>
        <v>0</v>
      </c>
    </row>
    <row r="31" spans="1:16" ht="14.25" customHeight="1">
      <c r="A31" s="16" t="s">
        <v>42</v>
      </c>
      <c r="B31" s="118"/>
      <c r="C31" s="118"/>
      <c r="F31" s="24">
        <f>-IFERROR(F23/F22,0)</f>
        <v>-0.13372652998026424</v>
      </c>
      <c r="G31" s="4"/>
      <c r="H31" s="24">
        <f t="shared" ref="H31:N31" si="17">-IFERROR(H23/H22,0)</f>
        <v>0.18223355818002332</v>
      </c>
      <c r="I31" s="24">
        <f t="shared" si="17"/>
        <v>0.22761827394485246</v>
      </c>
      <c r="J31" s="24">
        <f t="shared" si="17"/>
        <v>0.2018980507748398</v>
      </c>
      <c r="K31" s="24">
        <f t="shared" si="17"/>
        <v>0.27376149227895807</v>
      </c>
      <c r="L31" s="24">
        <f t="shared" si="17"/>
        <v>0.14118717491180344</v>
      </c>
      <c r="M31" s="24">
        <f t="shared" si="17"/>
        <v>0.14843157404597465</v>
      </c>
      <c r="N31" s="24">
        <f t="shared" si="17"/>
        <v>0.20612278035098541</v>
      </c>
      <c r="O31" s="8">
        <f t="shared" si="2"/>
        <v>1.3812529044874373</v>
      </c>
    </row>
    <row r="32" spans="1:16" ht="14.25" customHeight="1">
      <c r="A32" s="16" t="s">
        <v>43</v>
      </c>
      <c r="B32" s="118"/>
      <c r="C32" s="118"/>
      <c r="F32" s="25">
        <f>IFERROR(F3/SUM(F4,F11,F16:F18),0)</f>
        <v>-15.803061377158919</v>
      </c>
      <c r="G32" s="4"/>
      <c r="H32" s="25">
        <f t="shared" ref="H32:N32" si="18">IFERROR(H3/SUM(H4,H11,H16:H18),0)</f>
        <v>7.999665589488715E-2</v>
      </c>
      <c r="I32" s="25">
        <f t="shared" si="18"/>
        <v>9.7750103665615214E-3</v>
      </c>
      <c r="J32" s="25">
        <f t="shared" si="18"/>
        <v>0.18782901675805569</v>
      </c>
      <c r="K32" s="25">
        <f t="shared" si="18"/>
        <v>0.19901984470256001</v>
      </c>
      <c r="L32" s="25">
        <f t="shared" si="18"/>
        <v>0.29423631547471646</v>
      </c>
      <c r="M32" s="25">
        <f t="shared" si="18"/>
        <v>0.23934587523763209</v>
      </c>
      <c r="N32" s="25">
        <f t="shared" si="18"/>
        <v>-0.17797594893917307</v>
      </c>
      <c r="O32" s="8">
        <f t="shared" si="2"/>
        <v>0.83222676949523988</v>
      </c>
    </row>
    <row r="33" spans="1:15" ht="14.25" customHeight="1">
      <c r="A33" s="16" t="s">
        <v>44</v>
      </c>
      <c r="F33" s="25">
        <f>IFERROR(-F3/F10,0)</f>
        <v>-1.0944775218877976</v>
      </c>
      <c r="G33" s="4"/>
      <c r="H33" s="25">
        <f t="shared" ref="H33:N33" si="19">IFERROR(-H3/H10,0)</f>
        <v>0.40755730848225075</v>
      </c>
      <c r="I33" s="25">
        <f t="shared" si="19"/>
        <v>4.4250988550485447E-2</v>
      </c>
      <c r="J33" s="25">
        <f t="shared" si="19"/>
        <v>1.0146419974289043</v>
      </c>
      <c r="K33" s="25">
        <f t="shared" si="19"/>
        <v>0.83983726820724935</v>
      </c>
      <c r="L33" s="25">
        <f t="shared" si="19"/>
        <v>1.8168683751371437</v>
      </c>
      <c r="M33" s="25">
        <f t="shared" si="19"/>
        <v>1.3143798025853386</v>
      </c>
      <c r="N33" s="25">
        <f t="shared" si="19"/>
        <v>-0.84369434597924986</v>
      </c>
      <c r="O33" s="8">
        <f t="shared" si="2"/>
        <v>4.5938413944121219</v>
      </c>
    </row>
    <row r="34" spans="1:15" ht="14.25" customHeight="1">
      <c r="A34" s="16" t="s">
        <v>45</v>
      </c>
      <c r="B34" s="117"/>
      <c r="F34" s="26">
        <f>IFERROR(F3/F29,0)</f>
        <v>-1981.1708460136983</v>
      </c>
      <c r="G34" s="4"/>
      <c r="H34" s="26">
        <f t="shared" ref="H34:N34" si="20">IFERROR(H3/H29,0)</f>
        <v>777.85717533036131</v>
      </c>
      <c r="I34" s="26">
        <f t="shared" si="20"/>
        <v>60.746911758813702</v>
      </c>
      <c r="J34" s="26">
        <f t="shared" si="20"/>
        <v>878.31500340614696</v>
      </c>
      <c r="K34" s="26">
        <f t="shared" si="20"/>
        <v>838.78216448622481</v>
      </c>
      <c r="L34" s="26">
        <f t="shared" si="20"/>
        <v>3463.759926434861</v>
      </c>
      <c r="M34" s="26">
        <f t="shared" si="20"/>
        <v>5919.8173821967675</v>
      </c>
      <c r="N34" s="26">
        <f t="shared" si="20"/>
        <v>-1358.3586360245304</v>
      </c>
      <c r="O34" s="8">
        <f t="shared" si="2"/>
        <v>10580.919927588644</v>
      </c>
    </row>
    <row r="35" spans="1:15" ht="14.25" customHeight="1">
      <c r="G35" s="4"/>
    </row>
    <row r="36" spans="1:15" ht="14.25" customHeight="1">
      <c r="G36" s="4"/>
      <c r="H36" s="126">
        <v>36.35</v>
      </c>
      <c r="I36" s="126">
        <v>2.95</v>
      </c>
      <c r="J36" s="126">
        <v>97.38</v>
      </c>
      <c r="K36" s="126">
        <v>81.150000000000006</v>
      </c>
      <c r="L36" s="126">
        <v>174.34</v>
      </c>
      <c r="M36" s="126">
        <v>122.95</v>
      </c>
      <c r="N36" s="126">
        <v>81.819999999999993</v>
      </c>
    </row>
    <row r="37" spans="1:15" ht="14.25" customHeight="1">
      <c r="G37" s="4"/>
      <c r="H37" s="126"/>
      <c r="I37" s="126"/>
      <c r="J37" s="126"/>
      <c r="K37" s="126"/>
      <c r="L37" s="126"/>
      <c r="M37" s="126"/>
      <c r="N37" s="126"/>
    </row>
    <row r="38" spans="1:15" ht="14.25" customHeight="1">
      <c r="G38" s="4"/>
    </row>
    <row r="39" spans="1:15" ht="14.25" customHeight="1">
      <c r="G39" s="4"/>
    </row>
    <row r="40" spans="1:15" ht="14.25" customHeight="1">
      <c r="G40" s="4"/>
    </row>
    <row r="41" spans="1:15" ht="14.25" customHeight="1">
      <c r="G41" s="4"/>
    </row>
    <row r="42" spans="1:15" ht="14.25" customHeight="1">
      <c r="G42" s="4"/>
    </row>
    <row r="43" spans="1:15" ht="14.25" customHeight="1">
      <c r="G43" s="4"/>
    </row>
    <row r="44" spans="1:15" ht="14.25" customHeight="1">
      <c r="G44" s="4"/>
    </row>
    <row r="45" spans="1:15" ht="14.25" customHeight="1">
      <c r="G45" s="4"/>
    </row>
    <row r="46" spans="1:15" ht="14.25" customHeight="1">
      <c r="G46" s="4"/>
    </row>
    <row r="47" spans="1:15" ht="14.25" customHeight="1">
      <c r="G47" s="4"/>
    </row>
    <row r="48" spans="1:15" ht="14.25" customHeight="1">
      <c r="G48" s="4"/>
    </row>
    <row r="49" spans="7:7" ht="14.25" customHeight="1">
      <c r="G49" s="4"/>
    </row>
    <row r="50" spans="7:7" ht="14.25" customHeight="1">
      <c r="G50" s="4"/>
    </row>
    <row r="51" spans="7:7" ht="14.25" customHeight="1">
      <c r="G51" s="4"/>
    </row>
    <row r="52" spans="7:7" ht="14.25" customHeight="1">
      <c r="G52" s="4"/>
    </row>
    <row r="53" spans="7:7" ht="14.25" customHeight="1">
      <c r="G53" s="4"/>
    </row>
    <row r="54" spans="7:7" ht="14.25" customHeight="1">
      <c r="G54" s="4"/>
    </row>
    <row r="55" spans="7:7" ht="14.25" customHeight="1">
      <c r="G55" s="4"/>
    </row>
    <row r="56" spans="7:7" ht="14.25" customHeight="1">
      <c r="G56" s="4"/>
    </row>
    <row r="57" spans="7:7" ht="14.25" customHeight="1">
      <c r="G57" s="4"/>
    </row>
    <row r="58" spans="7:7" ht="14.25" customHeight="1">
      <c r="G58" s="4"/>
    </row>
    <row r="59" spans="7:7" ht="14.25" customHeight="1">
      <c r="G59" s="4"/>
    </row>
    <row r="60" spans="7:7" ht="14.25" customHeight="1">
      <c r="G60" s="4"/>
    </row>
    <row r="61" spans="7:7" ht="14.25" customHeight="1">
      <c r="G61" s="4"/>
    </row>
    <row r="62" spans="7:7" ht="14.25" customHeight="1">
      <c r="G62" s="4"/>
    </row>
    <row r="63" spans="7:7" ht="14.25" customHeight="1">
      <c r="G63" s="4"/>
    </row>
    <row r="64" spans="7:7" ht="14.25" customHeight="1">
      <c r="G64" s="4"/>
    </row>
    <row r="65" spans="7:7" ht="14.25" customHeight="1">
      <c r="G65" s="4"/>
    </row>
    <row r="66" spans="7:7" ht="14.25" customHeight="1">
      <c r="G66" s="4"/>
    </row>
    <row r="67" spans="7:7" ht="14.25" customHeight="1">
      <c r="G67" s="4"/>
    </row>
    <row r="68" spans="7:7" ht="14.25" customHeight="1">
      <c r="G68" s="4"/>
    </row>
    <row r="69" spans="7:7" ht="14.25" customHeight="1">
      <c r="G69" s="4"/>
    </row>
    <row r="70" spans="7:7" ht="14.25" customHeight="1">
      <c r="G70" s="4"/>
    </row>
    <row r="71" spans="7:7" ht="14.25" customHeight="1">
      <c r="G71" s="4"/>
    </row>
    <row r="72" spans="7:7" ht="14.25" customHeight="1">
      <c r="G72" s="4"/>
    </row>
    <row r="73" spans="7:7" ht="14.25" customHeight="1">
      <c r="G73" s="4"/>
    </row>
    <row r="74" spans="7:7" ht="14.25" customHeight="1">
      <c r="G74" s="4"/>
    </row>
    <row r="75" spans="7:7" ht="14.25" customHeight="1">
      <c r="G75" s="4"/>
    </row>
    <row r="76" spans="7:7" ht="14.25" customHeight="1">
      <c r="G76" s="4"/>
    </row>
    <row r="77" spans="7:7" ht="14.25" customHeight="1">
      <c r="G77" s="4"/>
    </row>
    <row r="78" spans="7:7" ht="14.25" customHeight="1">
      <c r="G78" s="4"/>
    </row>
    <row r="79" spans="7:7" ht="14.25" customHeight="1">
      <c r="G79" s="4"/>
    </row>
    <row r="80" spans="7:7" ht="14.25" customHeight="1">
      <c r="G80" s="4"/>
    </row>
    <row r="81" spans="7:7" ht="14.25" customHeight="1">
      <c r="G81" s="4"/>
    </row>
    <row r="82" spans="7:7" ht="14.25" customHeight="1">
      <c r="G82" s="4"/>
    </row>
    <row r="83" spans="7:7" ht="14.25" customHeight="1">
      <c r="G83" s="4"/>
    </row>
    <row r="84" spans="7:7" ht="14.25" customHeight="1">
      <c r="G84" s="4"/>
    </row>
    <row r="85" spans="7:7" ht="14.25" customHeight="1">
      <c r="G85" s="4"/>
    </row>
    <row r="86" spans="7:7" ht="14.25" customHeight="1">
      <c r="G86" s="4"/>
    </row>
    <row r="87" spans="7:7" ht="14.25" customHeight="1">
      <c r="G87" s="4"/>
    </row>
    <row r="88" spans="7:7" ht="14.25" customHeight="1">
      <c r="G88" s="4"/>
    </row>
    <row r="89" spans="7:7" ht="14.25" customHeight="1">
      <c r="G89" s="4"/>
    </row>
    <row r="90" spans="7:7" ht="14.25" customHeight="1">
      <c r="G90" s="4"/>
    </row>
    <row r="91" spans="7:7" ht="14.25" customHeight="1">
      <c r="G91" s="4"/>
    </row>
    <row r="92" spans="7:7" ht="14.25" customHeight="1">
      <c r="G92" s="4"/>
    </row>
    <row r="93" spans="7:7" ht="14.25" customHeight="1">
      <c r="G93" s="4"/>
    </row>
    <row r="94" spans="7:7" ht="14.25" customHeight="1">
      <c r="G94" s="4"/>
    </row>
    <row r="95" spans="7:7" ht="14.25" customHeight="1">
      <c r="G95" s="4"/>
    </row>
    <row r="96" spans="7:7" ht="14.25" customHeight="1">
      <c r="G96" s="4"/>
    </row>
    <row r="97" spans="7:7" ht="14.25" customHeight="1">
      <c r="G97" s="4"/>
    </row>
    <row r="98" spans="7:7" ht="14.25" customHeight="1">
      <c r="G98" s="4"/>
    </row>
    <row r="99" spans="7:7" ht="14.25" customHeight="1">
      <c r="G99" s="4"/>
    </row>
    <row r="100" spans="7:7" ht="14.25" customHeight="1">
      <c r="G100" s="4"/>
    </row>
    <row r="101" spans="7:7" ht="14.25" customHeight="1">
      <c r="G101" s="4"/>
    </row>
    <row r="102" spans="7:7" ht="14.25" customHeight="1">
      <c r="G102" s="4"/>
    </row>
    <row r="103" spans="7:7" ht="14.25" customHeight="1">
      <c r="G103" s="4"/>
    </row>
    <row r="104" spans="7:7" ht="14.25" customHeight="1">
      <c r="G104" s="4"/>
    </row>
    <row r="105" spans="7:7" ht="14.25" customHeight="1">
      <c r="G105" s="4"/>
    </row>
    <row r="106" spans="7:7" ht="14.25" customHeight="1">
      <c r="G106" s="4"/>
    </row>
    <row r="107" spans="7:7" ht="14.25" customHeight="1">
      <c r="G107" s="4"/>
    </row>
    <row r="108" spans="7:7" ht="14.25" customHeight="1">
      <c r="G108" s="4"/>
    </row>
    <row r="109" spans="7:7" ht="14.25" customHeight="1">
      <c r="G109" s="4"/>
    </row>
    <row r="110" spans="7:7" ht="14.25" customHeight="1">
      <c r="G110" s="4"/>
    </row>
    <row r="111" spans="7:7" ht="14.25" customHeight="1">
      <c r="G111" s="4"/>
    </row>
    <row r="112" spans="7:7" ht="14.25" customHeight="1">
      <c r="G112" s="4"/>
    </row>
    <row r="113" spans="7:7" ht="14.25" customHeight="1">
      <c r="G113" s="4"/>
    </row>
    <row r="114" spans="7:7" ht="14.25" customHeight="1">
      <c r="G114" s="4"/>
    </row>
    <row r="115" spans="7:7" ht="14.25" customHeight="1">
      <c r="G115" s="4"/>
    </row>
    <row r="116" spans="7:7" ht="14.25" customHeight="1">
      <c r="G116" s="4"/>
    </row>
    <row r="117" spans="7:7" ht="14.25" customHeight="1">
      <c r="G117" s="4"/>
    </row>
    <row r="118" spans="7:7" ht="14.25" customHeight="1">
      <c r="G118" s="4"/>
    </row>
    <row r="119" spans="7:7" ht="14.25" customHeight="1">
      <c r="G119" s="4"/>
    </row>
    <row r="120" spans="7:7" ht="14.25" customHeight="1">
      <c r="G120" s="4"/>
    </row>
    <row r="121" spans="7:7" ht="14.25" customHeight="1">
      <c r="G121" s="4"/>
    </row>
    <row r="122" spans="7:7" ht="14.25" customHeight="1">
      <c r="G122" s="4"/>
    </row>
    <row r="123" spans="7:7" ht="14.25" customHeight="1">
      <c r="G123" s="4"/>
    </row>
    <row r="124" spans="7:7" ht="14.25" customHeight="1">
      <c r="G124" s="4"/>
    </row>
    <row r="125" spans="7:7" ht="14.25" customHeight="1">
      <c r="G125" s="4"/>
    </row>
    <row r="126" spans="7:7" ht="14.25" customHeight="1">
      <c r="G126" s="4"/>
    </row>
    <row r="127" spans="7:7" ht="14.25" customHeight="1">
      <c r="G127" s="4"/>
    </row>
    <row r="128" spans="7:7" ht="14.25" customHeight="1">
      <c r="G128" s="4"/>
    </row>
    <row r="129" spans="7:7" ht="14.25" customHeight="1">
      <c r="G129" s="4"/>
    </row>
    <row r="130" spans="7:7" ht="14.25" customHeight="1">
      <c r="G130" s="4"/>
    </row>
    <row r="131" spans="7:7" ht="14.25" customHeight="1">
      <c r="G131" s="4"/>
    </row>
    <row r="132" spans="7:7" ht="14.25" customHeight="1">
      <c r="G132" s="4"/>
    </row>
    <row r="133" spans="7:7" ht="14.25" customHeight="1">
      <c r="G133" s="4"/>
    </row>
    <row r="134" spans="7:7" ht="14.25" customHeight="1">
      <c r="G134" s="4"/>
    </row>
    <row r="135" spans="7:7" ht="14.25" customHeight="1">
      <c r="G135" s="4"/>
    </row>
    <row r="136" spans="7:7" ht="14.25" customHeight="1">
      <c r="G136" s="4"/>
    </row>
    <row r="137" spans="7:7" ht="14.25" customHeight="1">
      <c r="G137" s="4"/>
    </row>
    <row r="138" spans="7:7" ht="14.25" customHeight="1">
      <c r="G138" s="4"/>
    </row>
    <row r="139" spans="7:7" ht="14.25" customHeight="1">
      <c r="G139" s="4"/>
    </row>
    <row r="140" spans="7:7" ht="14.25" customHeight="1">
      <c r="G140" s="4"/>
    </row>
    <row r="141" spans="7:7" ht="14.25" customHeight="1">
      <c r="G141" s="4"/>
    </row>
    <row r="142" spans="7:7" ht="14.25" customHeight="1">
      <c r="G142" s="4"/>
    </row>
    <row r="143" spans="7:7" ht="14.25" customHeight="1">
      <c r="G143" s="4"/>
    </row>
    <row r="144" spans="7:7" ht="14.25" customHeight="1">
      <c r="G144" s="4"/>
    </row>
    <row r="145" spans="7:7" ht="14.25" customHeight="1">
      <c r="G145" s="4"/>
    </row>
    <row r="146" spans="7:7" ht="14.25" customHeight="1">
      <c r="G146" s="4"/>
    </row>
    <row r="147" spans="7:7" ht="14.25" customHeight="1">
      <c r="G147" s="4"/>
    </row>
    <row r="148" spans="7:7" ht="14.25" customHeight="1">
      <c r="G148" s="4"/>
    </row>
    <row r="149" spans="7:7" ht="14.25" customHeight="1">
      <c r="G149" s="4"/>
    </row>
    <row r="150" spans="7:7" ht="14.25" customHeight="1">
      <c r="G150" s="4"/>
    </row>
    <row r="151" spans="7:7" ht="14.25" customHeight="1">
      <c r="G151" s="4"/>
    </row>
    <row r="152" spans="7:7" ht="14.25" customHeight="1">
      <c r="G152" s="4"/>
    </row>
    <row r="153" spans="7:7" ht="14.25" customHeight="1">
      <c r="G153" s="4"/>
    </row>
    <row r="154" spans="7:7" ht="14.25" customHeight="1">
      <c r="G154" s="4"/>
    </row>
    <row r="155" spans="7:7" ht="14.25" customHeight="1">
      <c r="G155" s="4"/>
    </row>
    <row r="156" spans="7:7" ht="14.25" customHeight="1">
      <c r="G156" s="4"/>
    </row>
    <row r="157" spans="7:7" ht="14.25" customHeight="1">
      <c r="G157" s="4"/>
    </row>
    <row r="158" spans="7:7" ht="14.25" customHeight="1">
      <c r="G158" s="4"/>
    </row>
    <row r="159" spans="7:7" ht="14.25" customHeight="1">
      <c r="G159" s="4"/>
    </row>
    <row r="160" spans="7:7" ht="14.25" customHeight="1">
      <c r="G160" s="4"/>
    </row>
    <row r="161" spans="7:7" ht="14.25" customHeight="1">
      <c r="G161" s="4"/>
    </row>
    <row r="162" spans="7:7" ht="14.25" customHeight="1">
      <c r="G162" s="4"/>
    </row>
    <row r="163" spans="7:7" ht="14.25" customHeight="1">
      <c r="G163" s="4"/>
    </row>
    <row r="164" spans="7:7" ht="14.25" customHeight="1">
      <c r="G164" s="4"/>
    </row>
    <row r="165" spans="7:7" ht="14.25" customHeight="1">
      <c r="G165" s="4"/>
    </row>
    <row r="166" spans="7:7" ht="14.25" customHeight="1">
      <c r="G166" s="4"/>
    </row>
    <row r="167" spans="7:7" ht="14.25" customHeight="1">
      <c r="G167" s="4"/>
    </row>
    <row r="168" spans="7:7" ht="14.25" customHeight="1">
      <c r="G168" s="4"/>
    </row>
    <row r="169" spans="7:7" ht="14.25" customHeight="1">
      <c r="G169" s="4"/>
    </row>
    <row r="170" spans="7:7" ht="14.25" customHeight="1">
      <c r="G170" s="4"/>
    </row>
    <row r="171" spans="7:7" ht="14.25" customHeight="1">
      <c r="G171" s="4"/>
    </row>
    <row r="172" spans="7:7" ht="14.25" customHeight="1">
      <c r="G172" s="4"/>
    </row>
    <row r="173" spans="7:7" ht="14.25" customHeight="1">
      <c r="G173" s="4"/>
    </row>
    <row r="174" spans="7:7" ht="14.25" customHeight="1">
      <c r="G174" s="4"/>
    </row>
    <row r="175" spans="7:7" ht="14.25" customHeight="1">
      <c r="G175" s="4"/>
    </row>
    <row r="176" spans="7:7" ht="14.25" customHeight="1">
      <c r="G176" s="4"/>
    </row>
    <row r="177" spans="7:7" ht="14.25" customHeight="1">
      <c r="G177" s="4"/>
    </row>
    <row r="178" spans="7:7" ht="14.25" customHeight="1">
      <c r="G178" s="4"/>
    </row>
    <row r="179" spans="7:7" ht="14.25" customHeight="1">
      <c r="G179" s="4"/>
    </row>
    <row r="180" spans="7:7" ht="14.25" customHeight="1">
      <c r="G180" s="4"/>
    </row>
    <row r="181" spans="7:7" ht="14.25" customHeight="1">
      <c r="G181" s="4"/>
    </row>
    <row r="182" spans="7:7" ht="14.25" customHeight="1">
      <c r="G182" s="4"/>
    </row>
    <row r="183" spans="7:7" ht="14.25" customHeight="1">
      <c r="G183" s="4"/>
    </row>
    <row r="184" spans="7:7" ht="14.25" customHeight="1">
      <c r="G184" s="4"/>
    </row>
    <row r="185" spans="7:7" ht="14.25" customHeight="1">
      <c r="G185" s="4"/>
    </row>
    <row r="186" spans="7:7" ht="14.25" customHeight="1">
      <c r="G186" s="4"/>
    </row>
    <row r="187" spans="7:7" ht="14.25" customHeight="1">
      <c r="G187" s="4"/>
    </row>
    <row r="188" spans="7:7" ht="14.25" customHeight="1">
      <c r="G188" s="4"/>
    </row>
    <row r="189" spans="7:7" ht="14.25" customHeight="1">
      <c r="G189" s="4"/>
    </row>
    <row r="190" spans="7:7" ht="14.25" customHeight="1">
      <c r="G190" s="4"/>
    </row>
    <row r="191" spans="7:7" ht="14.25" customHeight="1">
      <c r="G191" s="4"/>
    </row>
    <row r="192" spans="7:7" ht="14.25" customHeight="1">
      <c r="G192" s="4"/>
    </row>
    <row r="193" spans="7:7" ht="14.25" customHeight="1">
      <c r="G193" s="4"/>
    </row>
    <row r="194" spans="7:7" ht="14.25" customHeight="1">
      <c r="G194" s="4"/>
    </row>
    <row r="195" spans="7:7" ht="14.25" customHeight="1">
      <c r="G195" s="4"/>
    </row>
    <row r="196" spans="7:7" ht="14.25" customHeight="1">
      <c r="G196" s="4"/>
    </row>
    <row r="197" spans="7:7" ht="14.25" customHeight="1">
      <c r="G197" s="4"/>
    </row>
    <row r="198" spans="7:7" ht="14.25" customHeight="1">
      <c r="G198" s="4"/>
    </row>
    <row r="199" spans="7:7" ht="14.25" customHeight="1">
      <c r="G199" s="4"/>
    </row>
    <row r="200" spans="7:7" ht="14.25" customHeight="1">
      <c r="G200" s="4"/>
    </row>
    <row r="201" spans="7:7" ht="14.25" customHeight="1">
      <c r="G201" s="4"/>
    </row>
    <row r="202" spans="7:7" ht="14.25" customHeight="1">
      <c r="G202" s="4"/>
    </row>
    <row r="203" spans="7:7" ht="14.25" customHeight="1">
      <c r="G203" s="4"/>
    </row>
    <row r="204" spans="7:7" ht="14.25" customHeight="1">
      <c r="G204" s="4"/>
    </row>
    <row r="205" spans="7:7" ht="14.25" customHeight="1">
      <c r="G205" s="4"/>
    </row>
    <row r="206" spans="7:7" ht="14.25" customHeight="1">
      <c r="G206" s="4"/>
    </row>
    <row r="207" spans="7:7" ht="14.25" customHeight="1">
      <c r="G207" s="4"/>
    </row>
    <row r="208" spans="7:7" ht="14.25" customHeight="1">
      <c r="G208" s="4"/>
    </row>
    <row r="209" spans="7:7" ht="14.25" customHeight="1">
      <c r="G209" s="4"/>
    </row>
    <row r="210" spans="7:7" ht="14.25" customHeight="1">
      <c r="G210" s="4"/>
    </row>
    <row r="211" spans="7:7" ht="14.25" customHeight="1">
      <c r="G211" s="4"/>
    </row>
    <row r="212" spans="7:7" ht="14.25" customHeight="1">
      <c r="G212" s="4"/>
    </row>
    <row r="213" spans="7:7" ht="14.25" customHeight="1">
      <c r="G213" s="4"/>
    </row>
    <row r="214" spans="7:7" ht="14.25" customHeight="1">
      <c r="G214" s="4"/>
    </row>
    <row r="215" spans="7:7" ht="14.25" customHeight="1">
      <c r="G215" s="4"/>
    </row>
    <row r="216" spans="7:7" ht="14.25" customHeight="1">
      <c r="G216" s="4"/>
    </row>
    <row r="217" spans="7:7" ht="14.25" customHeight="1">
      <c r="G217" s="4"/>
    </row>
    <row r="218" spans="7:7" ht="14.25" customHeight="1">
      <c r="G218" s="4"/>
    </row>
    <row r="219" spans="7:7" ht="14.25" customHeight="1">
      <c r="G219" s="4"/>
    </row>
    <row r="220" spans="7:7" ht="14.25" customHeight="1">
      <c r="G220" s="4"/>
    </row>
    <row r="221" spans="7:7" ht="14.25" customHeight="1">
      <c r="G221" s="4"/>
    </row>
    <row r="222" spans="7:7" ht="14.25" customHeight="1">
      <c r="G222" s="4"/>
    </row>
    <row r="223" spans="7:7" ht="14.25" customHeight="1">
      <c r="G223" s="4"/>
    </row>
    <row r="224" spans="7:7" ht="14.25" customHeight="1">
      <c r="G224" s="4"/>
    </row>
    <row r="225" spans="7:7" ht="14.25" customHeight="1">
      <c r="G225" s="4"/>
    </row>
    <row r="226" spans="7:7" ht="14.25" customHeight="1">
      <c r="G226" s="4"/>
    </row>
    <row r="227" spans="7:7" ht="14.25" customHeight="1">
      <c r="G227" s="4"/>
    </row>
    <row r="228" spans="7:7" ht="14.25" customHeight="1">
      <c r="G228" s="4"/>
    </row>
    <row r="229" spans="7:7" ht="14.25" customHeight="1">
      <c r="G229" s="4"/>
    </row>
    <row r="230" spans="7:7" ht="14.25" customHeight="1">
      <c r="G230" s="4"/>
    </row>
    <row r="231" spans="7:7" ht="14.25" customHeight="1">
      <c r="G231" s="4"/>
    </row>
    <row r="232" spans="7:7" ht="14.25" customHeight="1">
      <c r="G232" s="4"/>
    </row>
    <row r="233" spans="7:7" ht="14.25" customHeight="1">
      <c r="G233" s="4"/>
    </row>
    <row r="234" spans="7:7" ht="14.25" customHeight="1">
      <c r="G234" s="4"/>
    </row>
    <row r="235" spans="7:7" ht="14.25" customHeight="1">
      <c r="G235" s="4"/>
    </row>
    <row r="236" spans="7:7" ht="14.25" customHeight="1">
      <c r="G236" s="4"/>
    </row>
    <row r="237" spans="7:7" ht="14.25" customHeight="1">
      <c r="G237" s="4"/>
    </row>
    <row r="238" spans="7:7" ht="14.25" customHeight="1">
      <c r="G238" s="4"/>
    </row>
    <row r="239" spans="7:7" ht="14.25" customHeight="1">
      <c r="G239" s="4"/>
    </row>
    <row r="240" spans="7:7" ht="14.25" customHeight="1">
      <c r="G240" s="4"/>
    </row>
    <row r="241" spans="7:7" ht="14.25" customHeight="1">
      <c r="G241" s="4"/>
    </row>
    <row r="242" spans="7:7" ht="14.25" customHeight="1">
      <c r="G242" s="4"/>
    </row>
    <row r="243" spans="7:7" ht="14.25" customHeight="1">
      <c r="G243" s="4"/>
    </row>
    <row r="244" spans="7:7" ht="14.25" customHeight="1">
      <c r="G244" s="4"/>
    </row>
    <row r="245" spans="7:7" ht="14.25" customHeight="1">
      <c r="G245" s="4"/>
    </row>
    <row r="246" spans="7:7" ht="14.25" customHeight="1">
      <c r="G246" s="4"/>
    </row>
    <row r="247" spans="7:7" ht="14.25" customHeight="1">
      <c r="G247" s="4"/>
    </row>
    <row r="248" spans="7:7" ht="14.25" customHeight="1">
      <c r="G248" s="4"/>
    </row>
    <row r="249" spans="7:7" ht="14.25" customHeight="1">
      <c r="G249" s="4"/>
    </row>
    <row r="250" spans="7:7" ht="14.25" customHeight="1">
      <c r="G250" s="4"/>
    </row>
    <row r="251" spans="7:7" ht="14.25" customHeight="1">
      <c r="G251" s="4"/>
    </row>
    <row r="252" spans="7:7" ht="14.25" customHeight="1">
      <c r="G252" s="4"/>
    </row>
    <row r="253" spans="7:7" ht="14.25" customHeight="1">
      <c r="G253" s="4"/>
    </row>
    <row r="254" spans="7:7" ht="14.25" customHeight="1">
      <c r="G254" s="4"/>
    </row>
    <row r="255" spans="7:7" ht="14.25" customHeight="1">
      <c r="G255" s="4"/>
    </row>
    <row r="256" spans="7:7" ht="14.25" customHeight="1">
      <c r="G256" s="4"/>
    </row>
    <row r="257" spans="7:7" ht="14.25" customHeight="1">
      <c r="G257" s="4"/>
    </row>
    <row r="258" spans="7:7" ht="14.25" customHeight="1">
      <c r="G258" s="4"/>
    </row>
    <row r="259" spans="7:7" ht="14.25" customHeight="1">
      <c r="G259" s="4"/>
    </row>
    <row r="260" spans="7:7" ht="14.25" customHeight="1">
      <c r="G260" s="4"/>
    </row>
    <row r="261" spans="7:7" ht="14.25" customHeight="1">
      <c r="G261" s="4"/>
    </row>
    <row r="262" spans="7:7" ht="14.25" customHeight="1">
      <c r="G262" s="4"/>
    </row>
    <row r="263" spans="7:7" ht="14.25" customHeight="1">
      <c r="G263" s="4"/>
    </row>
    <row r="264" spans="7:7" ht="14.25" customHeight="1">
      <c r="G264" s="4"/>
    </row>
    <row r="265" spans="7:7" ht="14.25" customHeight="1">
      <c r="G265" s="4"/>
    </row>
    <row r="266" spans="7:7" ht="14.25" customHeight="1">
      <c r="G266" s="4"/>
    </row>
    <row r="267" spans="7:7" ht="14.25" customHeight="1">
      <c r="G267" s="4"/>
    </row>
    <row r="268" spans="7:7" ht="14.25" customHeight="1">
      <c r="G268" s="4"/>
    </row>
    <row r="269" spans="7:7" ht="14.25" customHeight="1">
      <c r="G269" s="4"/>
    </row>
    <row r="270" spans="7:7" ht="14.25" customHeight="1">
      <c r="G270" s="4"/>
    </row>
    <row r="271" spans="7:7" ht="14.25" customHeight="1">
      <c r="G271" s="4"/>
    </row>
    <row r="272" spans="7:7" ht="14.25" customHeight="1">
      <c r="G272" s="4"/>
    </row>
    <row r="273" spans="7:7" ht="14.25" customHeight="1">
      <c r="G273" s="4"/>
    </row>
    <row r="274" spans="7:7" ht="14.25" customHeight="1">
      <c r="G274" s="4"/>
    </row>
    <row r="275" spans="7:7" ht="14.25" customHeight="1">
      <c r="G275" s="4"/>
    </row>
    <row r="276" spans="7:7" ht="14.25" customHeight="1">
      <c r="G276" s="4"/>
    </row>
    <row r="277" spans="7:7" ht="14.25" customHeight="1">
      <c r="G277" s="4"/>
    </row>
    <row r="278" spans="7:7" ht="14.25" customHeight="1">
      <c r="G278" s="4"/>
    </row>
    <row r="279" spans="7:7" ht="14.25" customHeight="1">
      <c r="G279" s="4"/>
    </row>
    <row r="280" spans="7:7" ht="14.25" customHeight="1">
      <c r="G280" s="4"/>
    </row>
    <row r="281" spans="7:7" ht="14.25" customHeight="1">
      <c r="G281" s="4"/>
    </row>
    <row r="282" spans="7:7" ht="14.25" customHeight="1">
      <c r="G282" s="4"/>
    </row>
    <row r="283" spans="7:7" ht="14.25" customHeight="1">
      <c r="G283" s="4"/>
    </row>
    <row r="284" spans="7:7" ht="14.25" customHeight="1">
      <c r="G284" s="4"/>
    </row>
    <row r="285" spans="7:7" ht="14.25" customHeight="1">
      <c r="G285" s="4"/>
    </row>
    <row r="286" spans="7:7" ht="14.25" customHeight="1">
      <c r="G286" s="4"/>
    </row>
    <row r="287" spans="7:7" ht="14.25" customHeight="1">
      <c r="G287" s="4"/>
    </row>
    <row r="288" spans="7:7" ht="14.25" customHeight="1">
      <c r="G288" s="4"/>
    </row>
    <row r="289" spans="7:7" ht="14.25" customHeight="1">
      <c r="G289" s="4"/>
    </row>
    <row r="290" spans="7:7" ht="14.25" customHeight="1">
      <c r="G290" s="4"/>
    </row>
    <row r="291" spans="7:7" ht="14.25" customHeight="1">
      <c r="G291" s="4"/>
    </row>
    <row r="292" spans="7:7" ht="14.25" customHeight="1">
      <c r="G292" s="4"/>
    </row>
    <row r="293" spans="7:7" ht="14.25" customHeight="1">
      <c r="G293" s="4"/>
    </row>
    <row r="294" spans="7:7" ht="14.25" customHeight="1">
      <c r="G294" s="4"/>
    </row>
    <row r="295" spans="7:7" ht="14.25" customHeight="1">
      <c r="G295" s="4"/>
    </row>
    <row r="296" spans="7:7" ht="14.25" customHeight="1">
      <c r="G296" s="4"/>
    </row>
    <row r="297" spans="7:7" ht="14.25" customHeight="1">
      <c r="G297" s="4"/>
    </row>
    <row r="298" spans="7:7" ht="14.25" customHeight="1">
      <c r="G298" s="4"/>
    </row>
    <row r="299" spans="7:7" ht="14.25" customHeight="1">
      <c r="G299" s="4"/>
    </row>
    <row r="300" spans="7:7" ht="14.25" customHeight="1">
      <c r="G300" s="4"/>
    </row>
    <row r="301" spans="7:7" ht="14.25" customHeight="1">
      <c r="G301" s="4"/>
    </row>
    <row r="302" spans="7:7" ht="14.25" customHeight="1">
      <c r="G302" s="4"/>
    </row>
    <row r="303" spans="7:7" ht="14.25" customHeight="1">
      <c r="G303" s="4"/>
    </row>
    <row r="304" spans="7:7" ht="14.25" customHeight="1">
      <c r="G304" s="4"/>
    </row>
    <row r="305" spans="7:7" ht="14.25" customHeight="1">
      <c r="G305" s="4"/>
    </row>
    <row r="306" spans="7:7" ht="14.25" customHeight="1">
      <c r="G306" s="4"/>
    </row>
    <row r="307" spans="7:7" ht="14.25" customHeight="1">
      <c r="G307" s="4"/>
    </row>
    <row r="308" spans="7:7" ht="14.25" customHeight="1">
      <c r="G308" s="4"/>
    </row>
    <row r="309" spans="7:7" ht="14.25" customHeight="1">
      <c r="G309" s="4"/>
    </row>
    <row r="310" spans="7:7" ht="14.25" customHeight="1">
      <c r="G310" s="4"/>
    </row>
    <row r="311" spans="7:7" ht="14.25" customHeight="1">
      <c r="G311" s="4"/>
    </row>
    <row r="312" spans="7:7" ht="14.25" customHeight="1">
      <c r="G312" s="4"/>
    </row>
    <row r="313" spans="7:7" ht="14.25" customHeight="1">
      <c r="G313" s="4"/>
    </row>
    <row r="314" spans="7:7" ht="14.25" customHeight="1">
      <c r="G314" s="4"/>
    </row>
    <row r="315" spans="7:7" ht="14.25" customHeight="1">
      <c r="G315" s="4"/>
    </row>
    <row r="316" spans="7:7" ht="14.25" customHeight="1">
      <c r="G316" s="4"/>
    </row>
    <row r="317" spans="7:7" ht="14.25" customHeight="1">
      <c r="G317" s="4"/>
    </row>
    <row r="318" spans="7:7" ht="14.25" customHeight="1">
      <c r="G318" s="4"/>
    </row>
    <row r="319" spans="7:7" ht="14.25" customHeight="1">
      <c r="G319" s="4"/>
    </row>
    <row r="320" spans="7:7" ht="14.25" customHeight="1">
      <c r="G320" s="4"/>
    </row>
    <row r="321" spans="7:7" ht="14.25" customHeight="1">
      <c r="G321" s="4"/>
    </row>
    <row r="322" spans="7:7" ht="14.25" customHeight="1">
      <c r="G322" s="4"/>
    </row>
    <row r="323" spans="7:7" ht="14.25" customHeight="1">
      <c r="G323" s="4"/>
    </row>
    <row r="324" spans="7:7" ht="14.25" customHeight="1">
      <c r="G324" s="4"/>
    </row>
    <row r="325" spans="7:7" ht="14.25" customHeight="1">
      <c r="G325" s="4"/>
    </row>
    <row r="326" spans="7:7" ht="14.25" customHeight="1">
      <c r="G326" s="4"/>
    </row>
    <row r="327" spans="7:7" ht="14.25" customHeight="1">
      <c r="G327" s="4"/>
    </row>
    <row r="328" spans="7:7" ht="14.25" customHeight="1">
      <c r="G328" s="4"/>
    </row>
    <row r="329" spans="7:7" ht="14.25" customHeight="1">
      <c r="G329" s="4"/>
    </row>
    <row r="330" spans="7:7" ht="14.25" customHeight="1">
      <c r="G330" s="4"/>
    </row>
    <row r="331" spans="7:7" ht="14.25" customHeight="1">
      <c r="G331" s="4"/>
    </row>
    <row r="332" spans="7:7" ht="14.25" customHeight="1">
      <c r="G332" s="4"/>
    </row>
    <row r="333" spans="7:7" ht="14.25" customHeight="1">
      <c r="G333" s="4"/>
    </row>
    <row r="334" spans="7:7" ht="14.25" customHeight="1">
      <c r="G334" s="4"/>
    </row>
    <row r="335" spans="7:7" ht="14.25" customHeight="1">
      <c r="G335" s="4"/>
    </row>
    <row r="336" spans="7:7" ht="14.25" customHeight="1">
      <c r="G336" s="4"/>
    </row>
    <row r="337" spans="7:7" ht="14.25" customHeight="1">
      <c r="G337" s="4"/>
    </row>
    <row r="338" spans="7:7" ht="14.25" customHeight="1">
      <c r="G338" s="4"/>
    </row>
    <row r="339" spans="7:7" ht="14.25" customHeight="1">
      <c r="G339" s="4"/>
    </row>
    <row r="340" spans="7:7" ht="14.25" customHeight="1">
      <c r="G340" s="4"/>
    </row>
    <row r="341" spans="7:7" ht="14.25" customHeight="1">
      <c r="G341" s="4"/>
    </row>
    <row r="342" spans="7:7" ht="14.25" customHeight="1">
      <c r="G342" s="4"/>
    </row>
    <row r="343" spans="7:7" ht="14.25" customHeight="1">
      <c r="G343" s="4"/>
    </row>
    <row r="344" spans="7:7" ht="14.25" customHeight="1">
      <c r="G344" s="4"/>
    </row>
    <row r="345" spans="7:7" ht="14.25" customHeight="1">
      <c r="G345" s="4"/>
    </row>
    <row r="346" spans="7:7" ht="14.25" customHeight="1">
      <c r="G346" s="4"/>
    </row>
    <row r="347" spans="7:7" ht="14.25" customHeight="1">
      <c r="G347" s="4"/>
    </row>
    <row r="348" spans="7:7" ht="14.25" customHeight="1">
      <c r="G348" s="4"/>
    </row>
    <row r="349" spans="7:7" ht="14.25" customHeight="1">
      <c r="G349" s="4"/>
    </row>
    <row r="350" spans="7:7" ht="14.25" customHeight="1">
      <c r="G350" s="4"/>
    </row>
    <row r="351" spans="7:7" ht="14.25" customHeight="1">
      <c r="G351" s="4"/>
    </row>
    <row r="352" spans="7:7" ht="14.25" customHeight="1">
      <c r="G352" s="4"/>
    </row>
    <row r="353" spans="7:7" ht="14.25" customHeight="1">
      <c r="G353" s="4"/>
    </row>
    <row r="354" spans="7:7" ht="14.25" customHeight="1">
      <c r="G354" s="4"/>
    </row>
    <row r="355" spans="7:7" ht="14.25" customHeight="1">
      <c r="G355" s="4"/>
    </row>
    <row r="356" spans="7:7" ht="14.25" customHeight="1">
      <c r="G356" s="4"/>
    </row>
    <row r="357" spans="7:7" ht="14.25" customHeight="1">
      <c r="G357" s="4"/>
    </row>
    <row r="358" spans="7:7" ht="14.25" customHeight="1">
      <c r="G358" s="4"/>
    </row>
    <row r="359" spans="7:7" ht="14.25" customHeight="1">
      <c r="G359" s="4"/>
    </row>
    <row r="360" spans="7:7" ht="14.25" customHeight="1">
      <c r="G360" s="4"/>
    </row>
    <row r="361" spans="7:7" ht="14.25" customHeight="1">
      <c r="G361" s="4"/>
    </row>
    <row r="362" spans="7:7" ht="14.25" customHeight="1">
      <c r="G362" s="4"/>
    </row>
    <row r="363" spans="7:7" ht="14.25" customHeight="1">
      <c r="G363" s="4"/>
    </row>
    <row r="364" spans="7:7" ht="14.25" customHeight="1">
      <c r="G364" s="4"/>
    </row>
    <row r="365" spans="7:7" ht="14.25" customHeight="1">
      <c r="G365" s="4"/>
    </row>
    <row r="366" spans="7:7" ht="14.25" customHeight="1">
      <c r="G366" s="4"/>
    </row>
    <row r="367" spans="7:7" ht="14.25" customHeight="1">
      <c r="G367" s="4"/>
    </row>
    <row r="368" spans="7:7" ht="14.25" customHeight="1">
      <c r="G368" s="4"/>
    </row>
    <row r="369" spans="7:7" ht="14.25" customHeight="1">
      <c r="G369" s="4"/>
    </row>
    <row r="370" spans="7:7" ht="14.25" customHeight="1">
      <c r="G370" s="4"/>
    </row>
    <row r="371" spans="7:7" ht="14.25" customHeight="1">
      <c r="G371" s="4"/>
    </row>
    <row r="372" spans="7:7" ht="14.25" customHeight="1">
      <c r="G372" s="4"/>
    </row>
    <row r="373" spans="7:7" ht="14.25" customHeight="1">
      <c r="G373" s="4"/>
    </row>
    <row r="374" spans="7:7" ht="14.25" customHeight="1">
      <c r="G374" s="4"/>
    </row>
    <row r="375" spans="7:7" ht="14.25" customHeight="1">
      <c r="G375" s="4"/>
    </row>
    <row r="376" spans="7:7" ht="14.25" customHeight="1">
      <c r="G376" s="4"/>
    </row>
    <row r="377" spans="7:7" ht="14.25" customHeight="1">
      <c r="G377" s="4"/>
    </row>
    <row r="378" spans="7:7" ht="14.25" customHeight="1">
      <c r="G378" s="4"/>
    </row>
    <row r="379" spans="7:7" ht="14.25" customHeight="1">
      <c r="G379" s="4"/>
    </row>
    <row r="380" spans="7:7" ht="14.25" customHeight="1">
      <c r="G380" s="4"/>
    </row>
    <row r="381" spans="7:7" ht="14.25" customHeight="1">
      <c r="G381" s="4"/>
    </row>
    <row r="382" spans="7:7" ht="14.25" customHeight="1">
      <c r="G382" s="4"/>
    </row>
    <row r="383" spans="7:7" ht="14.25" customHeight="1">
      <c r="G383" s="4"/>
    </row>
    <row r="384" spans="7:7" ht="14.25" customHeight="1">
      <c r="G384" s="4"/>
    </row>
    <row r="385" spans="7:7" ht="14.25" customHeight="1">
      <c r="G385" s="4"/>
    </row>
    <row r="386" spans="7:7" ht="14.25" customHeight="1">
      <c r="G386" s="4"/>
    </row>
    <row r="387" spans="7:7" ht="14.25" customHeight="1">
      <c r="G387" s="4"/>
    </row>
    <row r="388" spans="7:7" ht="14.25" customHeight="1">
      <c r="G388" s="4"/>
    </row>
    <row r="389" spans="7:7" ht="14.25" customHeight="1">
      <c r="G389" s="4"/>
    </row>
    <row r="390" spans="7:7" ht="14.25" customHeight="1">
      <c r="G390" s="4"/>
    </row>
    <row r="391" spans="7:7" ht="14.25" customHeight="1">
      <c r="G391" s="4"/>
    </row>
    <row r="392" spans="7:7" ht="14.25" customHeight="1">
      <c r="G392" s="4"/>
    </row>
    <row r="393" spans="7:7" ht="14.25" customHeight="1">
      <c r="G393" s="4"/>
    </row>
    <row r="394" spans="7:7" ht="14.25" customHeight="1">
      <c r="G394" s="4"/>
    </row>
    <row r="395" spans="7:7" ht="14.25" customHeight="1">
      <c r="G395" s="4"/>
    </row>
    <row r="396" spans="7:7" ht="14.25" customHeight="1">
      <c r="G396" s="4"/>
    </row>
    <row r="397" spans="7:7" ht="14.25" customHeight="1">
      <c r="G397" s="4"/>
    </row>
    <row r="398" spans="7:7" ht="14.25" customHeight="1">
      <c r="G398" s="4"/>
    </row>
    <row r="399" spans="7:7" ht="14.25" customHeight="1">
      <c r="G399" s="4"/>
    </row>
    <row r="400" spans="7:7" ht="14.25" customHeight="1">
      <c r="G400" s="4"/>
    </row>
    <row r="401" spans="7:7" ht="14.25" customHeight="1">
      <c r="G401" s="4"/>
    </row>
    <row r="402" spans="7:7" ht="14.25" customHeight="1">
      <c r="G402" s="4"/>
    </row>
    <row r="403" spans="7:7" ht="14.25" customHeight="1">
      <c r="G403" s="4"/>
    </row>
    <row r="404" spans="7:7" ht="14.25" customHeight="1">
      <c r="G404" s="4"/>
    </row>
    <row r="405" spans="7:7" ht="14.25" customHeight="1">
      <c r="G405" s="4"/>
    </row>
    <row r="406" spans="7:7" ht="14.25" customHeight="1">
      <c r="G406" s="4"/>
    </row>
    <row r="407" spans="7:7" ht="14.25" customHeight="1">
      <c r="G407" s="4"/>
    </row>
    <row r="408" spans="7:7" ht="14.25" customHeight="1">
      <c r="G408" s="4"/>
    </row>
    <row r="409" spans="7:7" ht="14.25" customHeight="1">
      <c r="G409" s="4"/>
    </row>
    <row r="410" spans="7:7" ht="14.25" customHeight="1">
      <c r="G410" s="4"/>
    </row>
    <row r="411" spans="7:7" ht="14.25" customHeight="1">
      <c r="G411" s="4"/>
    </row>
    <row r="412" spans="7:7" ht="14.25" customHeight="1">
      <c r="G412" s="4"/>
    </row>
    <row r="413" spans="7:7" ht="14.25" customHeight="1">
      <c r="G413" s="4"/>
    </row>
    <row r="414" spans="7:7" ht="14.25" customHeight="1">
      <c r="G414" s="4"/>
    </row>
    <row r="415" spans="7:7" ht="14.25" customHeight="1">
      <c r="G415" s="4"/>
    </row>
    <row r="416" spans="7:7" ht="14.25" customHeight="1">
      <c r="G416" s="4"/>
    </row>
    <row r="417" spans="7:7" ht="14.25" customHeight="1">
      <c r="G417" s="4"/>
    </row>
    <row r="418" spans="7:7" ht="14.25" customHeight="1">
      <c r="G418" s="4"/>
    </row>
    <row r="419" spans="7:7" ht="14.25" customHeight="1">
      <c r="G419" s="4"/>
    </row>
    <row r="420" spans="7:7" ht="14.25" customHeight="1">
      <c r="G420" s="4"/>
    </row>
    <row r="421" spans="7:7" ht="14.25" customHeight="1">
      <c r="G421" s="4"/>
    </row>
    <row r="422" spans="7:7" ht="14.25" customHeight="1">
      <c r="G422" s="4"/>
    </row>
    <row r="423" spans="7:7" ht="14.25" customHeight="1">
      <c r="G423" s="4"/>
    </row>
    <row r="424" spans="7:7" ht="14.25" customHeight="1">
      <c r="G424" s="4"/>
    </row>
    <row r="425" spans="7:7" ht="14.25" customHeight="1">
      <c r="G425" s="4"/>
    </row>
    <row r="426" spans="7:7" ht="14.25" customHeight="1">
      <c r="G426" s="4"/>
    </row>
    <row r="427" spans="7:7" ht="14.25" customHeight="1">
      <c r="G427" s="4"/>
    </row>
    <row r="428" spans="7:7" ht="14.25" customHeight="1">
      <c r="G428" s="4"/>
    </row>
    <row r="429" spans="7:7" ht="14.25" customHeight="1">
      <c r="G429" s="4"/>
    </row>
    <row r="430" spans="7:7" ht="14.25" customHeight="1">
      <c r="G430" s="4"/>
    </row>
    <row r="431" spans="7:7" ht="14.25" customHeight="1">
      <c r="G431" s="4"/>
    </row>
    <row r="432" spans="7:7" ht="14.25" customHeight="1">
      <c r="G432" s="4"/>
    </row>
    <row r="433" spans="7:7" ht="14.25" customHeight="1">
      <c r="G433" s="4"/>
    </row>
    <row r="434" spans="7:7" ht="14.25" customHeight="1">
      <c r="G434" s="4"/>
    </row>
    <row r="435" spans="7:7" ht="14.25" customHeight="1">
      <c r="G435" s="4"/>
    </row>
    <row r="436" spans="7:7" ht="14.25" customHeight="1">
      <c r="G436" s="4"/>
    </row>
    <row r="437" spans="7:7" ht="14.25" customHeight="1">
      <c r="G437" s="4"/>
    </row>
    <row r="438" spans="7:7" ht="14.25" customHeight="1">
      <c r="G438" s="4"/>
    </row>
    <row r="439" spans="7:7" ht="14.25" customHeight="1">
      <c r="G439" s="4"/>
    </row>
    <row r="440" spans="7:7" ht="14.25" customHeight="1">
      <c r="G440" s="4"/>
    </row>
    <row r="441" spans="7:7" ht="14.25" customHeight="1">
      <c r="G441" s="4"/>
    </row>
    <row r="442" spans="7:7" ht="14.25" customHeight="1">
      <c r="G442" s="4"/>
    </row>
    <row r="443" spans="7:7" ht="14.25" customHeight="1">
      <c r="G443" s="4"/>
    </row>
    <row r="444" spans="7:7" ht="14.25" customHeight="1">
      <c r="G444" s="4"/>
    </row>
    <row r="445" spans="7:7" ht="14.25" customHeight="1">
      <c r="G445" s="4"/>
    </row>
    <row r="446" spans="7:7" ht="14.25" customHeight="1">
      <c r="G446" s="4"/>
    </row>
    <row r="447" spans="7:7" ht="14.25" customHeight="1">
      <c r="G447" s="4"/>
    </row>
    <row r="448" spans="7:7" ht="14.25" customHeight="1">
      <c r="G448" s="4"/>
    </row>
    <row r="449" spans="7:7" ht="14.25" customHeight="1">
      <c r="G449" s="4"/>
    </row>
    <row r="450" spans="7:7" ht="14.25" customHeight="1">
      <c r="G450" s="4"/>
    </row>
    <row r="451" spans="7:7" ht="14.25" customHeight="1">
      <c r="G451" s="4"/>
    </row>
    <row r="452" spans="7:7" ht="14.25" customHeight="1">
      <c r="G452" s="4"/>
    </row>
    <row r="453" spans="7:7" ht="14.25" customHeight="1">
      <c r="G453" s="4"/>
    </row>
    <row r="454" spans="7:7" ht="14.25" customHeight="1">
      <c r="G454" s="4"/>
    </row>
    <row r="455" spans="7:7" ht="14.25" customHeight="1">
      <c r="G455" s="4"/>
    </row>
    <row r="456" spans="7:7" ht="14.25" customHeight="1">
      <c r="G456" s="4"/>
    </row>
    <row r="457" spans="7:7" ht="14.25" customHeight="1">
      <c r="G457" s="4"/>
    </row>
    <row r="458" spans="7:7" ht="14.25" customHeight="1">
      <c r="G458" s="4"/>
    </row>
    <row r="459" spans="7:7" ht="14.25" customHeight="1">
      <c r="G459" s="4"/>
    </row>
    <row r="460" spans="7:7" ht="14.25" customHeight="1">
      <c r="G460" s="4"/>
    </row>
    <row r="461" spans="7:7" ht="14.25" customHeight="1">
      <c r="G461" s="4"/>
    </row>
    <row r="462" spans="7:7" ht="14.25" customHeight="1">
      <c r="G462" s="4"/>
    </row>
    <row r="463" spans="7:7" ht="14.25" customHeight="1">
      <c r="G463" s="4"/>
    </row>
    <row r="464" spans="7:7" ht="14.25" customHeight="1">
      <c r="G464" s="4"/>
    </row>
    <row r="465" spans="7:7" ht="14.25" customHeight="1">
      <c r="G465" s="4"/>
    </row>
    <row r="466" spans="7:7" ht="14.25" customHeight="1">
      <c r="G466" s="4"/>
    </row>
    <row r="467" spans="7:7" ht="14.25" customHeight="1">
      <c r="G467" s="4"/>
    </row>
    <row r="468" spans="7:7" ht="14.25" customHeight="1">
      <c r="G468" s="4"/>
    </row>
    <row r="469" spans="7:7" ht="14.25" customHeight="1">
      <c r="G469" s="4"/>
    </row>
    <row r="470" spans="7:7" ht="14.25" customHeight="1">
      <c r="G470" s="4"/>
    </row>
    <row r="471" spans="7:7" ht="14.25" customHeight="1">
      <c r="G471" s="4"/>
    </row>
    <row r="472" spans="7:7" ht="14.25" customHeight="1">
      <c r="G472" s="4"/>
    </row>
    <row r="473" spans="7:7" ht="14.25" customHeight="1">
      <c r="G473" s="4"/>
    </row>
    <row r="474" spans="7:7" ht="14.25" customHeight="1">
      <c r="G474" s="4"/>
    </row>
    <row r="475" spans="7:7" ht="14.25" customHeight="1">
      <c r="G475" s="4"/>
    </row>
    <row r="476" spans="7:7" ht="14.25" customHeight="1">
      <c r="G476" s="4"/>
    </row>
    <row r="477" spans="7:7" ht="14.25" customHeight="1">
      <c r="G477" s="4"/>
    </row>
    <row r="478" spans="7:7" ht="14.25" customHeight="1">
      <c r="G478" s="4"/>
    </row>
    <row r="479" spans="7:7" ht="14.25" customHeight="1">
      <c r="G479" s="4"/>
    </row>
    <row r="480" spans="7:7" ht="14.25" customHeight="1">
      <c r="G480" s="4"/>
    </row>
    <row r="481" spans="7:7" ht="14.25" customHeight="1">
      <c r="G481" s="4"/>
    </row>
    <row r="482" spans="7:7" ht="14.25" customHeight="1">
      <c r="G482" s="4"/>
    </row>
    <row r="483" spans="7:7" ht="14.25" customHeight="1">
      <c r="G483" s="4"/>
    </row>
    <row r="484" spans="7:7" ht="14.25" customHeight="1">
      <c r="G484" s="4"/>
    </row>
    <row r="485" spans="7:7" ht="14.25" customHeight="1">
      <c r="G485" s="4"/>
    </row>
    <row r="486" spans="7:7" ht="14.25" customHeight="1">
      <c r="G486" s="4"/>
    </row>
    <row r="487" spans="7:7" ht="14.25" customHeight="1">
      <c r="G487" s="4"/>
    </row>
    <row r="488" spans="7:7" ht="14.25" customHeight="1">
      <c r="G488" s="4"/>
    </row>
    <row r="489" spans="7:7" ht="14.25" customHeight="1">
      <c r="G489" s="4"/>
    </row>
    <row r="490" spans="7:7" ht="14.25" customHeight="1">
      <c r="G490" s="4"/>
    </row>
    <row r="491" spans="7:7" ht="14.25" customHeight="1">
      <c r="G491" s="4"/>
    </row>
    <row r="492" spans="7:7" ht="14.25" customHeight="1">
      <c r="G492" s="4"/>
    </row>
    <row r="493" spans="7:7" ht="14.25" customHeight="1">
      <c r="G493" s="4"/>
    </row>
    <row r="494" spans="7:7" ht="14.25" customHeight="1">
      <c r="G494" s="4"/>
    </row>
    <row r="495" spans="7:7" ht="14.25" customHeight="1">
      <c r="G495" s="4"/>
    </row>
    <row r="496" spans="7:7" ht="14.25" customHeight="1">
      <c r="G496" s="4"/>
    </row>
    <row r="497" spans="7:7" ht="14.25" customHeight="1">
      <c r="G497" s="4"/>
    </row>
    <row r="498" spans="7:7" ht="14.25" customHeight="1">
      <c r="G498" s="4"/>
    </row>
    <row r="499" spans="7:7" ht="14.25" customHeight="1">
      <c r="G499" s="4"/>
    </row>
    <row r="500" spans="7:7" ht="14.25" customHeight="1">
      <c r="G500" s="4"/>
    </row>
    <row r="501" spans="7:7" ht="14.25" customHeight="1">
      <c r="G501" s="4"/>
    </row>
    <row r="502" spans="7:7" ht="14.25" customHeight="1">
      <c r="G502" s="4"/>
    </row>
    <row r="503" spans="7:7" ht="14.25" customHeight="1">
      <c r="G503" s="4"/>
    </row>
    <row r="504" spans="7:7" ht="14.25" customHeight="1">
      <c r="G504" s="4"/>
    </row>
    <row r="505" spans="7:7" ht="14.25" customHeight="1">
      <c r="G505" s="4"/>
    </row>
    <row r="506" spans="7:7" ht="14.25" customHeight="1">
      <c r="G506" s="4"/>
    </row>
    <row r="507" spans="7:7" ht="14.25" customHeight="1">
      <c r="G507" s="4"/>
    </row>
    <row r="508" spans="7:7" ht="14.25" customHeight="1">
      <c r="G508" s="4"/>
    </row>
    <row r="509" spans="7:7" ht="14.25" customHeight="1">
      <c r="G509" s="4"/>
    </row>
    <row r="510" spans="7:7" ht="14.25" customHeight="1">
      <c r="G510" s="4"/>
    </row>
    <row r="511" spans="7:7" ht="14.25" customHeight="1">
      <c r="G511" s="4"/>
    </row>
    <row r="512" spans="7:7" ht="14.25" customHeight="1">
      <c r="G512" s="4"/>
    </row>
    <row r="513" spans="7:7" ht="14.25" customHeight="1">
      <c r="G513" s="4"/>
    </row>
    <row r="514" spans="7:7" ht="14.25" customHeight="1">
      <c r="G514" s="4"/>
    </row>
    <row r="515" spans="7:7" ht="14.25" customHeight="1">
      <c r="G515" s="4"/>
    </row>
    <row r="516" spans="7:7" ht="14.25" customHeight="1">
      <c r="G516" s="4"/>
    </row>
    <row r="517" spans="7:7" ht="14.25" customHeight="1">
      <c r="G517" s="4"/>
    </row>
    <row r="518" spans="7:7" ht="14.25" customHeight="1">
      <c r="G518" s="4"/>
    </row>
    <row r="519" spans="7:7" ht="14.25" customHeight="1">
      <c r="G519" s="4"/>
    </row>
    <row r="520" spans="7:7" ht="14.25" customHeight="1">
      <c r="G520" s="4"/>
    </row>
    <row r="521" spans="7:7" ht="14.25" customHeight="1">
      <c r="G521" s="4"/>
    </row>
    <row r="522" spans="7:7" ht="14.25" customHeight="1">
      <c r="G522" s="4"/>
    </row>
    <row r="523" spans="7:7" ht="14.25" customHeight="1">
      <c r="G523" s="4"/>
    </row>
    <row r="524" spans="7:7" ht="14.25" customHeight="1">
      <c r="G524" s="4"/>
    </row>
    <row r="525" spans="7:7" ht="14.25" customHeight="1">
      <c r="G525" s="4"/>
    </row>
    <row r="526" spans="7:7" ht="14.25" customHeight="1">
      <c r="G526" s="4"/>
    </row>
    <row r="527" spans="7:7" ht="14.25" customHeight="1">
      <c r="G527" s="4"/>
    </row>
    <row r="528" spans="7:7" ht="14.25" customHeight="1">
      <c r="G528" s="4"/>
    </row>
    <row r="529" spans="7:7" ht="14.25" customHeight="1">
      <c r="G529" s="4"/>
    </row>
    <row r="530" spans="7:7" ht="14.25" customHeight="1">
      <c r="G530" s="4"/>
    </row>
    <row r="531" spans="7:7" ht="14.25" customHeight="1">
      <c r="G531" s="4"/>
    </row>
    <row r="532" spans="7:7" ht="14.25" customHeight="1">
      <c r="G532" s="4"/>
    </row>
    <row r="533" spans="7:7" ht="14.25" customHeight="1">
      <c r="G533" s="4"/>
    </row>
    <row r="534" spans="7:7" ht="14.25" customHeight="1">
      <c r="G534" s="4"/>
    </row>
    <row r="535" spans="7:7" ht="14.25" customHeight="1">
      <c r="G535" s="4"/>
    </row>
    <row r="536" spans="7:7" ht="14.25" customHeight="1">
      <c r="G536" s="4"/>
    </row>
    <row r="537" spans="7:7" ht="14.25" customHeight="1">
      <c r="G537" s="4"/>
    </row>
    <row r="538" spans="7:7" ht="14.25" customHeight="1">
      <c r="G538" s="4"/>
    </row>
    <row r="539" spans="7:7" ht="14.25" customHeight="1">
      <c r="G539" s="4"/>
    </row>
    <row r="540" spans="7:7" ht="14.25" customHeight="1">
      <c r="G540" s="4"/>
    </row>
    <row r="541" spans="7:7" ht="14.25" customHeight="1">
      <c r="G541" s="4"/>
    </row>
    <row r="542" spans="7:7" ht="14.25" customHeight="1">
      <c r="G542" s="4"/>
    </row>
    <row r="543" spans="7:7" ht="14.25" customHeight="1">
      <c r="G543" s="4"/>
    </row>
    <row r="544" spans="7:7" ht="14.25" customHeight="1">
      <c r="G544" s="4"/>
    </row>
    <row r="545" spans="7:7" ht="14.25" customHeight="1">
      <c r="G545" s="4"/>
    </row>
    <row r="546" spans="7:7" ht="14.25" customHeight="1">
      <c r="G546" s="4"/>
    </row>
    <row r="547" spans="7:7" ht="14.25" customHeight="1">
      <c r="G547" s="4"/>
    </row>
    <row r="548" spans="7:7" ht="14.25" customHeight="1">
      <c r="G548" s="4"/>
    </row>
    <row r="549" spans="7:7" ht="14.25" customHeight="1">
      <c r="G549" s="4"/>
    </row>
    <row r="550" spans="7:7" ht="14.25" customHeight="1">
      <c r="G550" s="4"/>
    </row>
    <row r="551" spans="7:7" ht="14.25" customHeight="1">
      <c r="G551" s="4"/>
    </row>
    <row r="552" spans="7:7" ht="14.25" customHeight="1">
      <c r="G552" s="4"/>
    </row>
    <row r="553" spans="7:7" ht="14.25" customHeight="1">
      <c r="G553" s="4"/>
    </row>
    <row r="554" spans="7:7" ht="14.25" customHeight="1">
      <c r="G554" s="4"/>
    </row>
    <row r="555" spans="7:7" ht="14.25" customHeight="1">
      <c r="G555" s="4"/>
    </row>
    <row r="556" spans="7:7" ht="14.25" customHeight="1">
      <c r="G556" s="4"/>
    </row>
    <row r="557" spans="7:7" ht="14.25" customHeight="1">
      <c r="G557" s="4"/>
    </row>
    <row r="558" spans="7:7" ht="14.25" customHeight="1">
      <c r="G558" s="4"/>
    </row>
    <row r="559" spans="7:7" ht="14.25" customHeight="1">
      <c r="G559" s="4"/>
    </row>
    <row r="560" spans="7:7" ht="14.25" customHeight="1">
      <c r="G560" s="4"/>
    </row>
    <row r="561" spans="7:7" ht="14.25" customHeight="1">
      <c r="G561" s="4"/>
    </row>
    <row r="562" spans="7:7" ht="14.25" customHeight="1">
      <c r="G562" s="4"/>
    </row>
    <row r="563" spans="7:7" ht="14.25" customHeight="1">
      <c r="G563" s="4"/>
    </row>
    <row r="564" spans="7:7" ht="14.25" customHeight="1">
      <c r="G564" s="4"/>
    </row>
    <row r="565" spans="7:7" ht="14.25" customHeight="1">
      <c r="G565" s="4"/>
    </row>
    <row r="566" spans="7:7" ht="14.25" customHeight="1">
      <c r="G566" s="4"/>
    </row>
    <row r="567" spans="7:7" ht="14.25" customHeight="1">
      <c r="G567" s="4"/>
    </row>
    <row r="568" spans="7:7" ht="14.25" customHeight="1">
      <c r="G568" s="4"/>
    </row>
    <row r="569" spans="7:7" ht="14.25" customHeight="1">
      <c r="G569" s="4"/>
    </row>
    <row r="570" spans="7:7" ht="14.25" customHeight="1">
      <c r="G570" s="4"/>
    </row>
    <row r="571" spans="7:7" ht="14.25" customHeight="1">
      <c r="G571" s="4"/>
    </row>
    <row r="572" spans="7:7" ht="14.25" customHeight="1">
      <c r="G572" s="4"/>
    </row>
    <row r="573" spans="7:7" ht="14.25" customHeight="1">
      <c r="G573" s="4"/>
    </row>
    <row r="574" spans="7:7" ht="14.25" customHeight="1">
      <c r="G574" s="4"/>
    </row>
    <row r="575" spans="7:7" ht="14.25" customHeight="1">
      <c r="G575" s="4"/>
    </row>
    <row r="576" spans="7:7" ht="14.25" customHeight="1">
      <c r="G576" s="4"/>
    </row>
    <row r="577" spans="7:7" ht="14.25" customHeight="1">
      <c r="G577" s="4"/>
    </row>
    <row r="578" spans="7:7" ht="14.25" customHeight="1">
      <c r="G578" s="4"/>
    </row>
    <row r="579" spans="7:7" ht="14.25" customHeight="1">
      <c r="G579" s="4"/>
    </row>
    <row r="580" spans="7:7" ht="14.25" customHeight="1">
      <c r="G580" s="4"/>
    </row>
    <row r="581" spans="7:7" ht="14.25" customHeight="1">
      <c r="G581" s="4"/>
    </row>
    <row r="582" spans="7:7" ht="14.25" customHeight="1">
      <c r="G582" s="4"/>
    </row>
    <row r="583" spans="7:7" ht="14.25" customHeight="1">
      <c r="G583" s="4"/>
    </row>
    <row r="584" spans="7:7" ht="14.25" customHeight="1">
      <c r="G584" s="4"/>
    </row>
    <row r="585" spans="7:7" ht="14.25" customHeight="1">
      <c r="G585" s="4"/>
    </row>
    <row r="586" spans="7:7" ht="14.25" customHeight="1">
      <c r="G586" s="4"/>
    </row>
    <row r="587" spans="7:7" ht="14.25" customHeight="1">
      <c r="G587" s="4"/>
    </row>
    <row r="588" spans="7:7" ht="14.25" customHeight="1">
      <c r="G588" s="4"/>
    </row>
    <row r="589" spans="7:7" ht="14.25" customHeight="1">
      <c r="G589" s="4"/>
    </row>
    <row r="590" spans="7:7" ht="14.25" customHeight="1">
      <c r="G590" s="4"/>
    </row>
    <row r="591" spans="7:7" ht="14.25" customHeight="1">
      <c r="G591" s="4"/>
    </row>
    <row r="592" spans="7:7" ht="14.25" customHeight="1">
      <c r="G592" s="4"/>
    </row>
    <row r="593" spans="7:7" ht="14.25" customHeight="1">
      <c r="G593" s="4"/>
    </row>
    <row r="594" spans="7:7" ht="14.25" customHeight="1">
      <c r="G594" s="4"/>
    </row>
    <row r="595" spans="7:7" ht="14.25" customHeight="1">
      <c r="G595" s="4"/>
    </row>
    <row r="596" spans="7:7" ht="14.25" customHeight="1">
      <c r="G596" s="4"/>
    </row>
    <row r="597" spans="7:7" ht="14.25" customHeight="1">
      <c r="G597" s="4"/>
    </row>
    <row r="598" spans="7:7" ht="14.25" customHeight="1">
      <c r="G598" s="4"/>
    </row>
    <row r="599" spans="7:7" ht="14.25" customHeight="1">
      <c r="G599" s="4"/>
    </row>
    <row r="600" spans="7:7" ht="14.25" customHeight="1">
      <c r="G600" s="4"/>
    </row>
    <row r="601" spans="7:7" ht="14.25" customHeight="1">
      <c r="G601" s="4"/>
    </row>
    <row r="602" spans="7:7" ht="14.25" customHeight="1">
      <c r="G602" s="4"/>
    </row>
    <row r="603" spans="7:7" ht="14.25" customHeight="1">
      <c r="G603" s="4"/>
    </row>
    <row r="604" spans="7:7" ht="14.25" customHeight="1">
      <c r="G604" s="4"/>
    </row>
    <row r="605" spans="7:7" ht="14.25" customHeight="1">
      <c r="G605" s="4"/>
    </row>
    <row r="606" spans="7:7" ht="14.25" customHeight="1">
      <c r="G606" s="4"/>
    </row>
    <row r="607" spans="7:7" ht="14.25" customHeight="1">
      <c r="G607" s="4"/>
    </row>
    <row r="608" spans="7:7" ht="14.25" customHeight="1">
      <c r="G608" s="4"/>
    </row>
    <row r="609" spans="7:7" ht="14.25" customHeight="1">
      <c r="G609" s="4"/>
    </row>
    <row r="610" spans="7:7" ht="14.25" customHeight="1">
      <c r="G610" s="4"/>
    </row>
    <row r="611" spans="7:7" ht="14.25" customHeight="1">
      <c r="G611" s="4"/>
    </row>
    <row r="612" spans="7:7" ht="14.25" customHeight="1">
      <c r="G612" s="4"/>
    </row>
    <row r="613" spans="7:7" ht="14.25" customHeight="1">
      <c r="G613" s="4"/>
    </row>
    <row r="614" spans="7:7" ht="14.25" customHeight="1">
      <c r="G614" s="4"/>
    </row>
    <row r="615" spans="7:7" ht="14.25" customHeight="1">
      <c r="G615" s="4"/>
    </row>
    <row r="616" spans="7:7" ht="14.25" customHeight="1">
      <c r="G616" s="4"/>
    </row>
    <row r="617" spans="7:7" ht="14.25" customHeight="1">
      <c r="G617" s="4"/>
    </row>
    <row r="618" spans="7:7" ht="14.25" customHeight="1">
      <c r="G618" s="4"/>
    </row>
    <row r="619" spans="7:7" ht="14.25" customHeight="1">
      <c r="G619" s="4"/>
    </row>
    <row r="620" spans="7:7" ht="14.25" customHeight="1">
      <c r="G620" s="4"/>
    </row>
    <row r="621" spans="7:7" ht="14.25" customHeight="1">
      <c r="G621" s="4"/>
    </row>
    <row r="622" spans="7:7" ht="14.25" customHeight="1">
      <c r="G622" s="4"/>
    </row>
    <row r="623" spans="7:7" ht="14.25" customHeight="1">
      <c r="G623" s="4"/>
    </row>
    <row r="624" spans="7:7" ht="14.25" customHeight="1">
      <c r="G624" s="4"/>
    </row>
    <row r="625" spans="7:7" ht="14.25" customHeight="1">
      <c r="G625" s="4"/>
    </row>
    <row r="626" spans="7:7" ht="14.25" customHeight="1">
      <c r="G626" s="4"/>
    </row>
    <row r="627" spans="7:7" ht="14.25" customHeight="1">
      <c r="G627" s="4"/>
    </row>
    <row r="628" spans="7:7" ht="14.25" customHeight="1">
      <c r="G628" s="4"/>
    </row>
    <row r="629" spans="7:7" ht="14.25" customHeight="1">
      <c r="G629" s="4"/>
    </row>
    <row r="630" spans="7:7" ht="14.25" customHeight="1">
      <c r="G630" s="4"/>
    </row>
    <row r="631" spans="7:7" ht="14.25" customHeight="1">
      <c r="G631" s="4"/>
    </row>
    <row r="632" spans="7:7" ht="14.25" customHeight="1">
      <c r="G632" s="4"/>
    </row>
    <row r="633" spans="7:7" ht="14.25" customHeight="1">
      <c r="G633" s="4"/>
    </row>
    <row r="634" spans="7:7" ht="14.25" customHeight="1">
      <c r="G634" s="4"/>
    </row>
    <row r="635" spans="7:7" ht="14.25" customHeight="1">
      <c r="G635" s="4"/>
    </row>
    <row r="636" spans="7:7" ht="14.25" customHeight="1">
      <c r="G636" s="4"/>
    </row>
    <row r="637" spans="7:7" ht="14.25" customHeight="1">
      <c r="G637" s="4"/>
    </row>
    <row r="638" spans="7:7" ht="14.25" customHeight="1">
      <c r="G638" s="4"/>
    </row>
    <row r="639" spans="7:7" ht="14.25" customHeight="1">
      <c r="G639" s="4"/>
    </row>
    <row r="640" spans="7:7" ht="14.25" customHeight="1">
      <c r="G640" s="4"/>
    </row>
    <row r="641" spans="7:7" ht="14.25" customHeight="1">
      <c r="G641" s="4"/>
    </row>
    <row r="642" spans="7:7" ht="14.25" customHeight="1">
      <c r="G642" s="4"/>
    </row>
    <row r="643" spans="7:7" ht="14.25" customHeight="1">
      <c r="G643" s="4"/>
    </row>
    <row r="644" spans="7:7" ht="14.25" customHeight="1">
      <c r="G644" s="4"/>
    </row>
    <row r="645" spans="7:7" ht="14.25" customHeight="1">
      <c r="G645" s="4"/>
    </row>
    <row r="646" spans="7:7" ht="14.25" customHeight="1">
      <c r="G646" s="4"/>
    </row>
    <row r="647" spans="7:7" ht="14.25" customHeight="1">
      <c r="G647" s="4"/>
    </row>
    <row r="648" spans="7:7" ht="14.25" customHeight="1">
      <c r="G648" s="4"/>
    </row>
    <row r="649" spans="7:7" ht="14.25" customHeight="1">
      <c r="G649" s="4"/>
    </row>
    <row r="650" spans="7:7" ht="14.25" customHeight="1">
      <c r="G650" s="4"/>
    </row>
    <row r="651" spans="7:7" ht="14.25" customHeight="1">
      <c r="G651" s="4"/>
    </row>
    <row r="652" spans="7:7" ht="14.25" customHeight="1">
      <c r="G652" s="4"/>
    </row>
    <row r="653" spans="7:7" ht="14.25" customHeight="1">
      <c r="G653" s="4"/>
    </row>
    <row r="654" spans="7:7" ht="14.25" customHeight="1">
      <c r="G654" s="4"/>
    </row>
    <row r="655" spans="7:7" ht="14.25" customHeight="1">
      <c r="G655" s="4"/>
    </row>
    <row r="656" spans="7:7" ht="14.25" customHeight="1">
      <c r="G656" s="4"/>
    </row>
    <row r="657" spans="7:7" ht="14.25" customHeight="1">
      <c r="G657" s="4"/>
    </row>
    <row r="658" spans="7:7" ht="14.25" customHeight="1">
      <c r="G658" s="4"/>
    </row>
    <row r="659" spans="7:7" ht="14.25" customHeight="1">
      <c r="G659" s="4"/>
    </row>
    <row r="660" spans="7:7" ht="14.25" customHeight="1">
      <c r="G660" s="4"/>
    </row>
    <row r="661" spans="7:7" ht="14.25" customHeight="1">
      <c r="G661" s="4"/>
    </row>
    <row r="662" spans="7:7" ht="14.25" customHeight="1">
      <c r="G662" s="4"/>
    </row>
    <row r="663" spans="7:7" ht="14.25" customHeight="1">
      <c r="G663" s="4"/>
    </row>
    <row r="664" spans="7:7" ht="14.25" customHeight="1">
      <c r="G664" s="4"/>
    </row>
    <row r="665" spans="7:7" ht="14.25" customHeight="1">
      <c r="G665" s="4"/>
    </row>
    <row r="666" spans="7:7" ht="14.25" customHeight="1">
      <c r="G666" s="4"/>
    </row>
    <row r="667" spans="7:7" ht="14.25" customHeight="1">
      <c r="G667" s="4"/>
    </row>
    <row r="668" spans="7:7" ht="14.25" customHeight="1">
      <c r="G668" s="4"/>
    </row>
    <row r="669" spans="7:7" ht="14.25" customHeight="1">
      <c r="G669" s="4"/>
    </row>
    <row r="670" spans="7:7" ht="14.25" customHeight="1">
      <c r="G670" s="4"/>
    </row>
    <row r="671" spans="7:7" ht="14.25" customHeight="1">
      <c r="G671" s="4"/>
    </row>
    <row r="672" spans="7:7" ht="14.25" customHeight="1">
      <c r="G672" s="4"/>
    </row>
    <row r="673" spans="7:7" ht="14.25" customHeight="1">
      <c r="G673" s="4"/>
    </row>
    <row r="674" spans="7:7" ht="14.25" customHeight="1">
      <c r="G674" s="4"/>
    </row>
    <row r="675" spans="7:7" ht="14.25" customHeight="1">
      <c r="G675" s="4"/>
    </row>
    <row r="676" spans="7:7" ht="14.25" customHeight="1">
      <c r="G676" s="4"/>
    </row>
    <row r="677" spans="7:7" ht="14.25" customHeight="1">
      <c r="G677" s="4"/>
    </row>
    <row r="678" spans="7:7" ht="14.25" customHeight="1">
      <c r="G678" s="4"/>
    </row>
    <row r="679" spans="7:7" ht="14.25" customHeight="1">
      <c r="G679" s="4"/>
    </row>
    <row r="680" spans="7:7" ht="14.25" customHeight="1">
      <c r="G680" s="4"/>
    </row>
    <row r="681" spans="7:7" ht="14.25" customHeight="1">
      <c r="G681" s="4"/>
    </row>
    <row r="682" spans="7:7" ht="14.25" customHeight="1">
      <c r="G682" s="4"/>
    </row>
    <row r="683" spans="7:7" ht="14.25" customHeight="1">
      <c r="G683" s="4"/>
    </row>
    <row r="684" spans="7:7" ht="14.25" customHeight="1">
      <c r="G684" s="4"/>
    </row>
    <row r="685" spans="7:7" ht="14.25" customHeight="1">
      <c r="G685" s="4"/>
    </row>
    <row r="686" spans="7:7" ht="14.25" customHeight="1">
      <c r="G686" s="4"/>
    </row>
    <row r="687" spans="7:7" ht="14.25" customHeight="1">
      <c r="G687" s="4"/>
    </row>
    <row r="688" spans="7:7" ht="14.25" customHeight="1">
      <c r="G688" s="4"/>
    </row>
    <row r="689" spans="7:7" ht="14.25" customHeight="1">
      <c r="G689" s="4"/>
    </row>
    <row r="690" spans="7:7" ht="14.25" customHeight="1">
      <c r="G690" s="4"/>
    </row>
    <row r="691" spans="7:7" ht="14.25" customHeight="1">
      <c r="G691" s="4"/>
    </row>
    <row r="692" spans="7:7" ht="14.25" customHeight="1">
      <c r="G692" s="4"/>
    </row>
    <row r="693" spans="7:7" ht="14.25" customHeight="1">
      <c r="G693" s="4"/>
    </row>
    <row r="694" spans="7:7" ht="14.25" customHeight="1">
      <c r="G694" s="4"/>
    </row>
    <row r="695" spans="7:7" ht="14.25" customHeight="1">
      <c r="G695" s="4"/>
    </row>
    <row r="696" spans="7:7" ht="14.25" customHeight="1">
      <c r="G696" s="4"/>
    </row>
    <row r="697" spans="7:7" ht="14.25" customHeight="1">
      <c r="G697" s="4"/>
    </row>
    <row r="698" spans="7:7" ht="14.25" customHeight="1">
      <c r="G698" s="4"/>
    </row>
    <row r="699" spans="7:7" ht="14.25" customHeight="1">
      <c r="G699" s="4"/>
    </row>
    <row r="700" spans="7:7" ht="14.25" customHeight="1">
      <c r="G700" s="4"/>
    </row>
    <row r="701" spans="7:7" ht="14.25" customHeight="1">
      <c r="G701" s="4"/>
    </row>
    <row r="702" spans="7:7" ht="14.25" customHeight="1">
      <c r="G702" s="4"/>
    </row>
    <row r="703" spans="7:7" ht="14.25" customHeight="1">
      <c r="G703" s="4"/>
    </row>
    <row r="704" spans="7:7" ht="14.25" customHeight="1">
      <c r="G704" s="4"/>
    </row>
    <row r="705" spans="7:7" ht="14.25" customHeight="1">
      <c r="G705" s="4"/>
    </row>
    <row r="706" spans="7:7" ht="14.25" customHeight="1">
      <c r="G706" s="4"/>
    </row>
    <row r="707" spans="7:7" ht="14.25" customHeight="1">
      <c r="G707" s="4"/>
    </row>
    <row r="708" spans="7:7" ht="14.25" customHeight="1">
      <c r="G708" s="4"/>
    </row>
    <row r="709" spans="7:7" ht="14.25" customHeight="1">
      <c r="G709" s="4"/>
    </row>
    <row r="710" spans="7:7" ht="14.25" customHeight="1">
      <c r="G710" s="4"/>
    </row>
    <row r="711" spans="7:7" ht="14.25" customHeight="1">
      <c r="G711" s="4"/>
    </row>
    <row r="712" spans="7:7" ht="14.25" customHeight="1">
      <c r="G712" s="4"/>
    </row>
    <row r="713" spans="7:7" ht="14.25" customHeight="1">
      <c r="G713" s="4"/>
    </row>
    <row r="714" spans="7:7" ht="14.25" customHeight="1">
      <c r="G714" s="4"/>
    </row>
    <row r="715" spans="7:7" ht="14.25" customHeight="1">
      <c r="G715" s="4"/>
    </row>
    <row r="716" spans="7:7" ht="14.25" customHeight="1">
      <c r="G716" s="4"/>
    </row>
    <row r="717" spans="7:7" ht="14.25" customHeight="1">
      <c r="G717" s="4"/>
    </row>
    <row r="718" spans="7:7" ht="14.25" customHeight="1">
      <c r="G718" s="4"/>
    </row>
    <row r="719" spans="7:7" ht="14.25" customHeight="1">
      <c r="G719" s="4"/>
    </row>
    <row r="720" spans="7:7" ht="14.25" customHeight="1">
      <c r="G720" s="4"/>
    </row>
    <row r="721" spans="7:7" ht="14.25" customHeight="1">
      <c r="G721" s="4"/>
    </row>
    <row r="722" spans="7:7" ht="14.25" customHeight="1">
      <c r="G722" s="4"/>
    </row>
    <row r="723" spans="7:7" ht="14.25" customHeight="1">
      <c r="G723" s="4"/>
    </row>
    <row r="724" spans="7:7" ht="14.25" customHeight="1">
      <c r="G724" s="4"/>
    </row>
    <row r="725" spans="7:7" ht="14.25" customHeight="1">
      <c r="G725" s="4"/>
    </row>
    <row r="726" spans="7:7" ht="14.25" customHeight="1">
      <c r="G726" s="4"/>
    </row>
    <row r="727" spans="7:7" ht="14.25" customHeight="1">
      <c r="G727" s="4"/>
    </row>
    <row r="728" spans="7:7" ht="14.25" customHeight="1">
      <c r="G728" s="4"/>
    </row>
    <row r="729" spans="7:7" ht="14.25" customHeight="1">
      <c r="G729" s="4"/>
    </row>
    <row r="730" spans="7:7" ht="14.25" customHeight="1">
      <c r="G730" s="4"/>
    </row>
    <row r="731" spans="7:7" ht="14.25" customHeight="1">
      <c r="G731" s="4"/>
    </row>
    <row r="732" spans="7:7" ht="14.25" customHeight="1">
      <c r="G732" s="4"/>
    </row>
    <row r="733" spans="7:7" ht="14.25" customHeight="1">
      <c r="G733" s="4"/>
    </row>
    <row r="734" spans="7:7" ht="14.25" customHeight="1">
      <c r="G734" s="4"/>
    </row>
    <row r="735" spans="7:7" ht="14.25" customHeight="1">
      <c r="G735" s="4"/>
    </row>
    <row r="736" spans="7:7" ht="14.25" customHeight="1">
      <c r="G736" s="4"/>
    </row>
    <row r="737" spans="7:7" ht="14.25" customHeight="1">
      <c r="G737" s="4"/>
    </row>
    <row r="738" spans="7:7" ht="14.25" customHeight="1">
      <c r="G738" s="4"/>
    </row>
    <row r="739" spans="7:7" ht="14.25" customHeight="1">
      <c r="G739" s="4"/>
    </row>
    <row r="740" spans="7:7" ht="14.25" customHeight="1">
      <c r="G740" s="4"/>
    </row>
    <row r="741" spans="7:7" ht="14.25" customHeight="1">
      <c r="G741" s="4"/>
    </row>
    <row r="742" spans="7:7" ht="14.25" customHeight="1">
      <c r="G742" s="4"/>
    </row>
    <row r="743" spans="7:7" ht="14.25" customHeight="1">
      <c r="G743" s="4"/>
    </row>
    <row r="744" spans="7:7" ht="14.25" customHeight="1">
      <c r="G744" s="4"/>
    </row>
    <row r="745" spans="7:7" ht="14.25" customHeight="1">
      <c r="G745" s="4"/>
    </row>
    <row r="746" spans="7:7" ht="14.25" customHeight="1">
      <c r="G746" s="4"/>
    </row>
    <row r="747" spans="7:7" ht="14.25" customHeight="1">
      <c r="G747" s="4"/>
    </row>
    <row r="748" spans="7:7" ht="14.25" customHeight="1">
      <c r="G748" s="4"/>
    </row>
    <row r="749" spans="7:7" ht="14.25" customHeight="1">
      <c r="G749" s="4"/>
    </row>
    <row r="750" spans="7:7" ht="14.25" customHeight="1">
      <c r="G750" s="4"/>
    </row>
    <row r="751" spans="7:7" ht="14.25" customHeight="1">
      <c r="G751" s="4"/>
    </row>
    <row r="752" spans="7:7" ht="14.25" customHeight="1">
      <c r="G752" s="4"/>
    </row>
    <row r="753" spans="7:7" ht="14.25" customHeight="1">
      <c r="G753" s="4"/>
    </row>
    <row r="754" spans="7:7" ht="14.25" customHeight="1">
      <c r="G754" s="4"/>
    </row>
    <row r="755" spans="7:7" ht="14.25" customHeight="1">
      <c r="G755" s="4"/>
    </row>
    <row r="756" spans="7:7" ht="14.25" customHeight="1">
      <c r="G756" s="4"/>
    </row>
    <row r="757" spans="7:7" ht="14.25" customHeight="1">
      <c r="G757" s="4"/>
    </row>
    <row r="758" spans="7:7" ht="14.25" customHeight="1">
      <c r="G758" s="4"/>
    </row>
    <row r="759" spans="7:7" ht="14.25" customHeight="1">
      <c r="G759" s="4"/>
    </row>
    <row r="760" spans="7:7" ht="14.25" customHeight="1">
      <c r="G760" s="4"/>
    </row>
    <row r="761" spans="7:7" ht="14.25" customHeight="1">
      <c r="G761" s="4"/>
    </row>
    <row r="762" spans="7:7" ht="14.25" customHeight="1">
      <c r="G762" s="4"/>
    </row>
    <row r="763" spans="7:7" ht="14.25" customHeight="1">
      <c r="G763" s="4"/>
    </row>
    <row r="764" spans="7:7" ht="14.25" customHeight="1">
      <c r="G764" s="4"/>
    </row>
    <row r="765" spans="7:7" ht="14.25" customHeight="1">
      <c r="G765" s="4"/>
    </row>
    <row r="766" spans="7:7" ht="14.25" customHeight="1">
      <c r="G766" s="4"/>
    </row>
    <row r="767" spans="7:7" ht="14.25" customHeight="1">
      <c r="G767" s="4"/>
    </row>
    <row r="768" spans="7:7" ht="14.25" customHeight="1">
      <c r="G768" s="4"/>
    </row>
    <row r="769" spans="7:7" ht="14.25" customHeight="1">
      <c r="G769" s="4"/>
    </row>
    <row r="770" spans="7:7" ht="14.25" customHeight="1">
      <c r="G770" s="4"/>
    </row>
    <row r="771" spans="7:7" ht="14.25" customHeight="1">
      <c r="G771" s="4"/>
    </row>
    <row r="772" spans="7:7" ht="14.25" customHeight="1">
      <c r="G772" s="4"/>
    </row>
    <row r="773" spans="7:7" ht="14.25" customHeight="1">
      <c r="G773" s="4"/>
    </row>
    <row r="774" spans="7:7" ht="14.25" customHeight="1">
      <c r="G774" s="4"/>
    </row>
    <row r="775" spans="7:7" ht="14.25" customHeight="1">
      <c r="G775" s="4"/>
    </row>
    <row r="776" spans="7:7" ht="14.25" customHeight="1">
      <c r="G776" s="4"/>
    </row>
    <row r="777" spans="7:7" ht="14.25" customHeight="1">
      <c r="G777" s="4"/>
    </row>
    <row r="778" spans="7:7" ht="14.25" customHeight="1">
      <c r="G778" s="4"/>
    </row>
    <row r="779" spans="7:7" ht="14.25" customHeight="1">
      <c r="G779" s="4"/>
    </row>
    <row r="780" spans="7:7" ht="14.25" customHeight="1">
      <c r="G780" s="4"/>
    </row>
    <row r="781" spans="7:7" ht="14.25" customHeight="1">
      <c r="G781" s="4"/>
    </row>
    <row r="782" spans="7:7" ht="14.25" customHeight="1">
      <c r="G782" s="4"/>
    </row>
    <row r="783" spans="7:7" ht="14.25" customHeight="1">
      <c r="G783" s="4"/>
    </row>
    <row r="784" spans="7:7" ht="14.25" customHeight="1">
      <c r="G784" s="4"/>
    </row>
    <row r="785" spans="7:7" ht="14.25" customHeight="1">
      <c r="G785" s="4"/>
    </row>
    <row r="786" spans="7:7" ht="14.25" customHeight="1">
      <c r="G786" s="4"/>
    </row>
    <row r="787" spans="7:7" ht="14.25" customHeight="1">
      <c r="G787" s="4"/>
    </row>
    <row r="788" spans="7:7" ht="14.25" customHeight="1">
      <c r="G788" s="4"/>
    </row>
    <row r="789" spans="7:7" ht="14.25" customHeight="1">
      <c r="G789" s="4"/>
    </row>
    <row r="790" spans="7:7" ht="14.25" customHeight="1">
      <c r="G790" s="4"/>
    </row>
    <row r="791" spans="7:7" ht="14.25" customHeight="1">
      <c r="G791" s="4"/>
    </row>
    <row r="792" spans="7:7" ht="14.25" customHeight="1">
      <c r="G792" s="4"/>
    </row>
    <row r="793" spans="7:7" ht="14.25" customHeight="1">
      <c r="G793" s="4"/>
    </row>
    <row r="794" spans="7:7" ht="14.25" customHeight="1">
      <c r="G794" s="4"/>
    </row>
    <row r="795" spans="7:7" ht="14.25" customHeight="1">
      <c r="G795" s="4"/>
    </row>
    <row r="796" spans="7:7" ht="14.25" customHeight="1">
      <c r="G796" s="4"/>
    </row>
    <row r="797" spans="7:7" ht="14.25" customHeight="1">
      <c r="G797" s="4"/>
    </row>
    <row r="798" spans="7:7" ht="14.25" customHeight="1">
      <c r="G798" s="4"/>
    </row>
    <row r="799" spans="7:7" ht="14.25" customHeight="1">
      <c r="G799" s="4"/>
    </row>
    <row r="800" spans="7:7" ht="14.25" customHeight="1">
      <c r="G800" s="4"/>
    </row>
    <row r="801" spans="7:7" ht="14.25" customHeight="1">
      <c r="G801" s="4"/>
    </row>
    <row r="802" spans="7:7" ht="14.25" customHeight="1">
      <c r="G802" s="4"/>
    </row>
    <row r="803" spans="7:7" ht="14.25" customHeight="1">
      <c r="G803" s="4"/>
    </row>
    <row r="804" spans="7:7" ht="14.25" customHeight="1">
      <c r="G804" s="4"/>
    </row>
    <row r="805" spans="7:7" ht="14.25" customHeight="1">
      <c r="G805" s="4"/>
    </row>
    <row r="806" spans="7:7" ht="14.25" customHeight="1">
      <c r="G806" s="4"/>
    </row>
    <row r="807" spans="7:7" ht="14.25" customHeight="1">
      <c r="G807" s="4"/>
    </row>
    <row r="808" spans="7:7" ht="14.25" customHeight="1">
      <c r="G808" s="4"/>
    </row>
    <row r="809" spans="7:7" ht="14.25" customHeight="1">
      <c r="G809" s="4"/>
    </row>
    <row r="810" spans="7:7" ht="14.25" customHeight="1">
      <c r="G810" s="4"/>
    </row>
    <row r="811" spans="7:7" ht="14.25" customHeight="1">
      <c r="G811" s="4"/>
    </row>
    <row r="812" spans="7:7" ht="14.25" customHeight="1">
      <c r="G812" s="4"/>
    </row>
    <row r="813" spans="7:7" ht="14.25" customHeight="1">
      <c r="G813" s="4"/>
    </row>
    <row r="814" spans="7:7" ht="14.25" customHeight="1">
      <c r="G814" s="4"/>
    </row>
    <row r="815" spans="7:7" ht="14.25" customHeight="1">
      <c r="G815" s="4"/>
    </row>
    <row r="816" spans="7:7" ht="14.25" customHeight="1">
      <c r="G816" s="4"/>
    </row>
    <row r="817" spans="7:7" ht="14.25" customHeight="1">
      <c r="G817" s="4"/>
    </row>
    <row r="818" spans="7:7" ht="14.25" customHeight="1">
      <c r="G818" s="4"/>
    </row>
    <row r="819" spans="7:7" ht="14.25" customHeight="1">
      <c r="G819" s="4"/>
    </row>
    <row r="820" spans="7:7" ht="14.25" customHeight="1">
      <c r="G820" s="4"/>
    </row>
    <row r="821" spans="7:7" ht="14.25" customHeight="1">
      <c r="G821" s="4"/>
    </row>
    <row r="822" spans="7:7" ht="14.25" customHeight="1">
      <c r="G822" s="4"/>
    </row>
    <row r="823" spans="7:7" ht="14.25" customHeight="1">
      <c r="G823" s="4"/>
    </row>
    <row r="824" spans="7:7" ht="14.25" customHeight="1">
      <c r="G824" s="4"/>
    </row>
    <row r="825" spans="7:7" ht="14.25" customHeight="1">
      <c r="G825" s="4"/>
    </row>
    <row r="826" spans="7:7" ht="14.25" customHeight="1">
      <c r="G826" s="4"/>
    </row>
    <row r="827" spans="7:7" ht="14.25" customHeight="1">
      <c r="G827" s="4"/>
    </row>
    <row r="828" spans="7:7" ht="14.25" customHeight="1">
      <c r="G828" s="4"/>
    </row>
    <row r="829" spans="7:7" ht="14.25" customHeight="1">
      <c r="G829" s="4"/>
    </row>
    <row r="830" spans="7:7" ht="14.25" customHeight="1">
      <c r="G830" s="4"/>
    </row>
    <row r="831" spans="7:7" ht="14.25" customHeight="1">
      <c r="G831" s="4"/>
    </row>
    <row r="832" spans="7:7" ht="14.25" customHeight="1">
      <c r="G832" s="4"/>
    </row>
    <row r="833" spans="7:7" ht="14.25" customHeight="1">
      <c r="G833" s="4"/>
    </row>
    <row r="834" spans="7:7" ht="14.25" customHeight="1">
      <c r="G834" s="4"/>
    </row>
    <row r="835" spans="7:7" ht="14.25" customHeight="1">
      <c r="G835" s="4"/>
    </row>
    <row r="836" spans="7:7" ht="14.25" customHeight="1">
      <c r="G836" s="4"/>
    </row>
    <row r="837" spans="7:7" ht="14.25" customHeight="1">
      <c r="G837" s="4"/>
    </row>
    <row r="838" spans="7:7" ht="14.25" customHeight="1">
      <c r="G838" s="4"/>
    </row>
    <row r="839" spans="7:7" ht="14.25" customHeight="1">
      <c r="G839" s="4"/>
    </row>
    <row r="840" spans="7:7" ht="14.25" customHeight="1">
      <c r="G840" s="4"/>
    </row>
    <row r="841" spans="7:7" ht="14.25" customHeight="1">
      <c r="G841" s="4"/>
    </row>
    <row r="842" spans="7:7" ht="14.25" customHeight="1">
      <c r="G842" s="4"/>
    </row>
    <row r="843" spans="7:7" ht="14.25" customHeight="1">
      <c r="G843" s="4"/>
    </row>
    <row r="844" spans="7:7" ht="14.25" customHeight="1">
      <c r="G844" s="4"/>
    </row>
    <row r="845" spans="7:7" ht="14.25" customHeight="1">
      <c r="G845" s="4"/>
    </row>
    <row r="846" spans="7:7" ht="14.25" customHeight="1">
      <c r="G846" s="4"/>
    </row>
    <row r="847" spans="7:7" ht="14.25" customHeight="1">
      <c r="G847" s="4"/>
    </row>
    <row r="848" spans="7:7" ht="14.25" customHeight="1">
      <c r="G848" s="4"/>
    </row>
    <row r="849" spans="7:7" ht="14.25" customHeight="1">
      <c r="G849" s="4"/>
    </row>
    <row r="850" spans="7:7" ht="14.25" customHeight="1">
      <c r="G850" s="4"/>
    </row>
    <row r="851" spans="7:7" ht="14.25" customHeight="1">
      <c r="G851" s="4"/>
    </row>
    <row r="852" spans="7:7" ht="14.25" customHeight="1">
      <c r="G852" s="4"/>
    </row>
    <row r="853" spans="7:7" ht="14.25" customHeight="1">
      <c r="G853" s="4"/>
    </row>
    <row r="854" spans="7:7" ht="14.25" customHeight="1">
      <c r="G854" s="4"/>
    </row>
    <row r="855" spans="7:7" ht="14.25" customHeight="1">
      <c r="G855" s="4"/>
    </row>
    <row r="856" spans="7:7" ht="14.25" customHeight="1">
      <c r="G856" s="4"/>
    </row>
    <row r="857" spans="7:7" ht="14.25" customHeight="1">
      <c r="G857" s="4"/>
    </row>
    <row r="858" spans="7:7" ht="14.25" customHeight="1">
      <c r="G858" s="4"/>
    </row>
    <row r="859" spans="7:7" ht="14.25" customHeight="1">
      <c r="G859" s="4"/>
    </row>
    <row r="860" spans="7:7" ht="14.25" customHeight="1">
      <c r="G860" s="4"/>
    </row>
    <row r="861" spans="7:7" ht="14.25" customHeight="1">
      <c r="G861" s="4"/>
    </row>
    <row r="862" spans="7:7" ht="14.25" customHeight="1">
      <c r="G862" s="4"/>
    </row>
    <row r="863" spans="7:7" ht="14.25" customHeight="1">
      <c r="G863" s="4"/>
    </row>
    <row r="864" spans="7:7" ht="14.25" customHeight="1">
      <c r="G864" s="4"/>
    </row>
    <row r="865" spans="7:7" ht="14.25" customHeight="1">
      <c r="G865" s="4"/>
    </row>
    <row r="866" spans="7:7" ht="14.25" customHeight="1">
      <c r="G866" s="4"/>
    </row>
    <row r="867" spans="7:7" ht="14.25" customHeight="1">
      <c r="G867" s="4"/>
    </row>
    <row r="868" spans="7:7" ht="14.25" customHeight="1">
      <c r="G868" s="4"/>
    </row>
    <row r="869" spans="7:7" ht="14.25" customHeight="1">
      <c r="G869" s="4"/>
    </row>
    <row r="870" spans="7:7" ht="14.25" customHeight="1">
      <c r="G870" s="4"/>
    </row>
    <row r="871" spans="7:7" ht="14.25" customHeight="1">
      <c r="G871" s="4"/>
    </row>
    <row r="872" spans="7:7" ht="14.25" customHeight="1">
      <c r="G872" s="4"/>
    </row>
    <row r="873" spans="7:7" ht="14.25" customHeight="1">
      <c r="G873" s="4"/>
    </row>
    <row r="874" spans="7:7" ht="14.25" customHeight="1">
      <c r="G874" s="4"/>
    </row>
    <row r="875" spans="7:7" ht="14.25" customHeight="1">
      <c r="G875" s="4"/>
    </row>
    <row r="876" spans="7:7" ht="14.25" customHeight="1">
      <c r="G876" s="4"/>
    </row>
    <row r="877" spans="7:7" ht="14.25" customHeight="1">
      <c r="G877" s="4"/>
    </row>
    <row r="878" spans="7:7" ht="14.25" customHeight="1">
      <c r="G878" s="4"/>
    </row>
    <row r="879" spans="7:7" ht="14.25" customHeight="1">
      <c r="G879" s="4"/>
    </row>
    <row r="880" spans="7:7" ht="14.25" customHeight="1">
      <c r="G880" s="4"/>
    </row>
    <row r="881" spans="7:7" ht="14.25" customHeight="1">
      <c r="G881" s="4"/>
    </row>
    <row r="882" spans="7:7" ht="14.25" customHeight="1">
      <c r="G882" s="4"/>
    </row>
    <row r="883" spans="7:7" ht="14.25" customHeight="1">
      <c r="G883" s="4"/>
    </row>
    <row r="884" spans="7:7" ht="14.25" customHeight="1">
      <c r="G884" s="4"/>
    </row>
    <row r="885" spans="7:7" ht="14.25" customHeight="1">
      <c r="G885" s="4"/>
    </row>
    <row r="886" spans="7:7" ht="14.25" customHeight="1">
      <c r="G886" s="4"/>
    </row>
    <row r="887" spans="7:7" ht="14.25" customHeight="1">
      <c r="G887" s="4"/>
    </row>
    <row r="888" spans="7:7" ht="14.25" customHeight="1">
      <c r="G888" s="4"/>
    </row>
    <row r="889" spans="7:7" ht="14.25" customHeight="1">
      <c r="G889" s="4"/>
    </row>
    <row r="890" spans="7:7" ht="14.25" customHeight="1">
      <c r="G890" s="4"/>
    </row>
    <row r="891" spans="7:7" ht="14.25" customHeight="1">
      <c r="G891" s="4"/>
    </row>
    <row r="892" spans="7:7" ht="14.25" customHeight="1">
      <c r="G892" s="4"/>
    </row>
    <row r="893" spans="7:7" ht="14.25" customHeight="1">
      <c r="G893" s="4"/>
    </row>
    <row r="894" spans="7:7" ht="14.25" customHeight="1">
      <c r="G894" s="4"/>
    </row>
    <row r="895" spans="7:7" ht="14.25" customHeight="1">
      <c r="G895" s="4"/>
    </row>
    <row r="896" spans="7:7" ht="14.25" customHeight="1">
      <c r="G896" s="4"/>
    </row>
    <row r="897" spans="7:7" ht="14.25" customHeight="1">
      <c r="G897" s="4"/>
    </row>
    <row r="898" spans="7:7" ht="14.25" customHeight="1">
      <c r="G898" s="4"/>
    </row>
    <row r="899" spans="7:7" ht="14.25" customHeight="1">
      <c r="G899" s="4"/>
    </row>
    <row r="900" spans="7:7" ht="14.25" customHeight="1">
      <c r="G900" s="4"/>
    </row>
    <row r="901" spans="7:7" ht="14.25" customHeight="1">
      <c r="G901" s="4"/>
    </row>
    <row r="902" spans="7:7" ht="14.25" customHeight="1">
      <c r="G902" s="4"/>
    </row>
    <row r="903" spans="7:7" ht="14.25" customHeight="1">
      <c r="G903" s="4"/>
    </row>
    <row r="904" spans="7:7" ht="14.25" customHeight="1">
      <c r="G904" s="4"/>
    </row>
    <row r="905" spans="7:7" ht="14.25" customHeight="1">
      <c r="G905" s="4"/>
    </row>
    <row r="906" spans="7:7" ht="14.25" customHeight="1">
      <c r="G906" s="4"/>
    </row>
    <row r="907" spans="7:7" ht="14.25" customHeight="1">
      <c r="G907" s="4"/>
    </row>
    <row r="908" spans="7:7" ht="14.25" customHeight="1">
      <c r="G908" s="4"/>
    </row>
    <row r="909" spans="7:7" ht="14.25" customHeight="1">
      <c r="G909" s="4"/>
    </row>
    <row r="910" spans="7:7" ht="14.25" customHeight="1">
      <c r="G910" s="4"/>
    </row>
    <row r="911" spans="7:7" ht="14.25" customHeight="1">
      <c r="G911" s="4"/>
    </row>
    <row r="912" spans="7:7" ht="14.25" customHeight="1">
      <c r="G912" s="4"/>
    </row>
    <row r="913" spans="7:7" ht="14.25" customHeight="1">
      <c r="G913" s="4"/>
    </row>
    <row r="914" spans="7:7" ht="14.25" customHeight="1">
      <c r="G914" s="4"/>
    </row>
    <row r="915" spans="7:7" ht="14.25" customHeight="1">
      <c r="G915" s="4"/>
    </row>
    <row r="916" spans="7:7" ht="14.25" customHeight="1">
      <c r="G916" s="4"/>
    </row>
    <row r="917" spans="7:7" ht="14.25" customHeight="1">
      <c r="G917" s="4"/>
    </row>
    <row r="918" spans="7:7" ht="14.25" customHeight="1">
      <c r="G918" s="4"/>
    </row>
    <row r="919" spans="7:7" ht="14.25" customHeight="1">
      <c r="G919" s="4"/>
    </row>
    <row r="920" spans="7:7" ht="14.25" customHeight="1">
      <c r="G920" s="4"/>
    </row>
    <row r="921" spans="7:7" ht="14.25" customHeight="1">
      <c r="G921" s="4"/>
    </row>
    <row r="922" spans="7:7" ht="14.25" customHeight="1">
      <c r="G922" s="4"/>
    </row>
    <row r="923" spans="7:7" ht="14.25" customHeight="1">
      <c r="G923" s="4"/>
    </row>
    <row r="924" spans="7:7" ht="14.25" customHeight="1">
      <c r="G924" s="4"/>
    </row>
    <row r="925" spans="7:7" ht="14.25" customHeight="1">
      <c r="G925" s="4"/>
    </row>
    <row r="926" spans="7:7" ht="14.25" customHeight="1">
      <c r="G926" s="4"/>
    </row>
    <row r="927" spans="7:7" ht="14.25" customHeight="1">
      <c r="G927" s="4"/>
    </row>
    <row r="928" spans="7:7" ht="14.25" customHeight="1">
      <c r="G928" s="4"/>
    </row>
    <row r="929" spans="7:7" ht="14.25" customHeight="1">
      <c r="G929" s="4"/>
    </row>
    <row r="930" spans="7:7" ht="14.25" customHeight="1">
      <c r="G930" s="4"/>
    </row>
    <row r="931" spans="7:7" ht="14.25" customHeight="1">
      <c r="G931" s="4"/>
    </row>
    <row r="932" spans="7:7" ht="14.25" customHeight="1">
      <c r="G932" s="4"/>
    </row>
    <row r="933" spans="7:7" ht="14.25" customHeight="1">
      <c r="G933" s="4"/>
    </row>
    <row r="934" spans="7:7" ht="14.25" customHeight="1">
      <c r="G934" s="4"/>
    </row>
    <row r="935" spans="7:7" ht="14.25" customHeight="1">
      <c r="G935" s="4"/>
    </row>
    <row r="936" spans="7:7" ht="14.25" customHeight="1">
      <c r="G936" s="4"/>
    </row>
    <row r="937" spans="7:7" ht="14.25" customHeight="1">
      <c r="G937" s="4"/>
    </row>
    <row r="938" spans="7:7" ht="14.25" customHeight="1">
      <c r="G938" s="4"/>
    </row>
    <row r="939" spans="7:7" ht="14.25" customHeight="1">
      <c r="G939" s="4"/>
    </row>
    <row r="940" spans="7:7" ht="14.25" customHeight="1">
      <c r="G940" s="4"/>
    </row>
    <row r="941" spans="7:7" ht="14.25" customHeight="1">
      <c r="G941" s="4"/>
    </row>
    <row r="942" spans="7:7" ht="14.25" customHeight="1">
      <c r="G942" s="4"/>
    </row>
    <row r="943" spans="7:7" ht="14.25" customHeight="1">
      <c r="G943" s="4"/>
    </row>
    <row r="944" spans="7:7" ht="14.25" customHeight="1">
      <c r="G944" s="4"/>
    </row>
    <row r="945" spans="7:7" ht="14.25" customHeight="1">
      <c r="G945" s="4"/>
    </row>
    <row r="946" spans="7:7" ht="14.25" customHeight="1">
      <c r="G946" s="4"/>
    </row>
    <row r="947" spans="7:7" ht="14.25" customHeight="1">
      <c r="G947" s="4"/>
    </row>
    <row r="948" spans="7:7" ht="14.25" customHeight="1">
      <c r="G948" s="4"/>
    </row>
    <row r="949" spans="7:7" ht="14.25" customHeight="1">
      <c r="G949" s="4"/>
    </row>
    <row r="950" spans="7:7" ht="14.25" customHeight="1">
      <c r="G950" s="4"/>
    </row>
    <row r="951" spans="7:7" ht="14.25" customHeight="1">
      <c r="G951" s="4"/>
    </row>
    <row r="952" spans="7:7" ht="14.25" customHeight="1">
      <c r="G952" s="4"/>
    </row>
    <row r="953" spans="7:7" ht="14.25" customHeight="1">
      <c r="G953" s="4"/>
    </row>
    <row r="954" spans="7:7" ht="14.25" customHeight="1">
      <c r="G954" s="4"/>
    </row>
    <row r="955" spans="7:7" ht="14.25" customHeight="1">
      <c r="G955" s="4"/>
    </row>
    <row r="956" spans="7:7" ht="14.25" customHeight="1">
      <c r="G956" s="4"/>
    </row>
    <row r="957" spans="7:7" ht="14.25" customHeight="1">
      <c r="G957" s="4"/>
    </row>
    <row r="958" spans="7:7" ht="14.25" customHeight="1">
      <c r="G958" s="4"/>
    </row>
    <row r="959" spans="7:7" ht="14.25" customHeight="1">
      <c r="G959" s="4"/>
    </row>
    <row r="960" spans="7:7" ht="14.25" customHeight="1">
      <c r="G960" s="4"/>
    </row>
    <row r="961" spans="7:7" ht="14.25" customHeight="1">
      <c r="G961" s="4"/>
    </row>
    <row r="962" spans="7:7" ht="14.25" customHeight="1">
      <c r="G962" s="4"/>
    </row>
    <row r="963" spans="7:7" ht="14.25" customHeight="1">
      <c r="G963" s="4"/>
    </row>
    <row r="964" spans="7:7" ht="14.25" customHeight="1">
      <c r="G964" s="4"/>
    </row>
    <row r="965" spans="7:7" ht="14.25" customHeight="1">
      <c r="G965" s="4"/>
    </row>
    <row r="966" spans="7:7" ht="14.25" customHeight="1">
      <c r="G966" s="4"/>
    </row>
    <row r="967" spans="7:7" ht="14.25" customHeight="1">
      <c r="G967" s="4"/>
    </row>
    <row r="968" spans="7:7" ht="14.25" customHeight="1">
      <c r="G968" s="4"/>
    </row>
    <row r="969" spans="7:7" ht="14.25" customHeight="1">
      <c r="G969" s="4"/>
    </row>
    <row r="970" spans="7:7" ht="14.25" customHeight="1">
      <c r="G970" s="4"/>
    </row>
    <row r="971" spans="7:7" ht="14.25" customHeight="1">
      <c r="G971" s="4"/>
    </row>
    <row r="972" spans="7:7" ht="14.25" customHeight="1">
      <c r="G972" s="4"/>
    </row>
    <row r="973" spans="7:7" ht="14.25" customHeight="1">
      <c r="G973" s="4"/>
    </row>
    <row r="974" spans="7:7" ht="14.25" customHeight="1">
      <c r="G974" s="4"/>
    </row>
    <row r="975" spans="7:7" ht="14.25" customHeight="1">
      <c r="G975" s="4"/>
    </row>
    <row r="976" spans="7:7" ht="14.25" customHeight="1">
      <c r="G976" s="4"/>
    </row>
    <row r="977" spans="7:7" ht="14.25" customHeight="1">
      <c r="G977" s="4"/>
    </row>
    <row r="978" spans="7:7" ht="14.25" customHeight="1">
      <c r="G978" s="4"/>
    </row>
    <row r="979" spans="7:7" ht="14.25" customHeight="1">
      <c r="G979" s="4"/>
    </row>
    <row r="980" spans="7:7" ht="14.25" customHeight="1">
      <c r="G980" s="4"/>
    </row>
    <row r="981" spans="7:7" ht="14.25" customHeight="1">
      <c r="G981" s="4"/>
    </row>
    <row r="982" spans="7:7" ht="14.25" customHeight="1">
      <c r="G982" s="4"/>
    </row>
    <row r="983" spans="7:7" ht="14.25" customHeight="1">
      <c r="G983" s="4"/>
    </row>
    <row r="984" spans="7:7" ht="14.25" customHeight="1">
      <c r="G984" s="4"/>
    </row>
    <row r="985" spans="7:7" ht="14.25" customHeight="1">
      <c r="G985" s="4"/>
    </row>
    <row r="986" spans="7:7" ht="14.25" customHeight="1">
      <c r="G986" s="4"/>
    </row>
    <row r="987" spans="7:7" ht="14.25" customHeight="1">
      <c r="G987" s="4"/>
    </row>
    <row r="988" spans="7:7" ht="14.25" customHeight="1">
      <c r="G988" s="4"/>
    </row>
    <row r="989" spans="7:7" ht="14.25" customHeight="1">
      <c r="G989" s="4"/>
    </row>
    <row r="990" spans="7:7" ht="14.25" customHeight="1">
      <c r="G990" s="4"/>
    </row>
    <row r="991" spans="7:7" ht="14.25" customHeight="1">
      <c r="G991" s="4"/>
    </row>
    <row r="992" spans="7:7" ht="14.25" customHeight="1">
      <c r="G992" s="4"/>
    </row>
    <row r="993" spans="7:7" ht="14.25" customHeight="1">
      <c r="G993" s="4"/>
    </row>
    <row r="994" spans="7:7" ht="14.25" customHeight="1">
      <c r="G994" s="4"/>
    </row>
    <row r="995" spans="7:7" ht="14.25" customHeight="1">
      <c r="G995" s="4"/>
    </row>
    <row r="996" spans="7:7" ht="14.25" customHeight="1">
      <c r="G996" s="4"/>
    </row>
    <row r="997" spans="7:7" ht="14.25" customHeight="1">
      <c r="G997" s="4"/>
    </row>
    <row r="998" spans="7:7" ht="14.25" customHeight="1">
      <c r="G998" s="4"/>
    </row>
    <row r="999" spans="7:7" ht="14.25" customHeight="1">
      <c r="G999" s="4"/>
    </row>
    <row r="1000" spans="7:7" ht="14.25" customHeight="1">
      <c r="G1000" s="4"/>
    </row>
  </sheetData>
  <mergeCells count="2">
    <mergeCell ref="B1:F1"/>
    <mergeCell ref="H1:N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C83" sqref="C83"/>
    </sheetView>
  </sheetViews>
  <sheetFormatPr defaultColWidth="14.44140625" defaultRowHeight="15" customHeight="1"/>
  <cols>
    <col min="1" max="1" width="11.109375" customWidth="1"/>
    <col min="2" max="2" width="8.6640625" customWidth="1"/>
    <col min="3" max="3" width="18.88671875" customWidth="1"/>
    <col min="4" max="4" width="31.6640625" customWidth="1"/>
    <col min="5" max="5" width="10.6640625" customWidth="1"/>
    <col min="6" max="6" width="10.109375" customWidth="1"/>
    <col min="7" max="7" width="15" customWidth="1"/>
    <col min="8" max="9" width="12" customWidth="1"/>
    <col min="10" max="10" width="14" customWidth="1"/>
    <col min="11" max="11" width="16.88671875" customWidth="1"/>
    <col min="12" max="12" width="21.88671875" customWidth="1"/>
    <col min="13" max="13" width="19.44140625" customWidth="1"/>
    <col min="14" max="15" width="24.33203125" customWidth="1"/>
    <col min="16" max="16" width="11.33203125" customWidth="1"/>
    <col min="17" max="17" width="12" customWidth="1"/>
    <col min="18" max="18" width="7.6640625" customWidth="1"/>
    <col min="19" max="19" width="12.6640625" customWidth="1"/>
    <col min="20" max="20" width="11.6640625" customWidth="1"/>
    <col min="21" max="21" width="12" customWidth="1"/>
    <col min="22" max="22" width="11.88671875" customWidth="1"/>
    <col min="23" max="23" width="15.6640625" customWidth="1"/>
    <col min="24" max="24" width="18.33203125" customWidth="1"/>
    <col min="25" max="25" width="9.6640625" customWidth="1"/>
    <col min="26" max="26" width="8" customWidth="1"/>
  </cols>
  <sheetData>
    <row r="1" spans="1:26" ht="23.25" customHeight="1">
      <c r="G1" s="140" t="s">
        <v>46</v>
      </c>
      <c r="H1" s="137"/>
      <c r="I1" s="137"/>
      <c r="J1" s="137"/>
      <c r="K1" s="137"/>
      <c r="L1" s="137"/>
      <c r="M1" s="137"/>
      <c r="N1" s="137"/>
      <c r="O1" s="137"/>
      <c r="P1" s="138"/>
      <c r="Q1" s="141" t="s">
        <v>47</v>
      </c>
      <c r="R1" s="137"/>
      <c r="S1" s="137"/>
      <c r="T1" s="137"/>
      <c r="U1" s="137"/>
      <c r="V1" s="137"/>
      <c r="W1" s="137"/>
      <c r="X1" s="137"/>
      <c r="Y1" s="137"/>
      <c r="Z1" s="138"/>
    </row>
    <row r="2" spans="1:26" ht="14.25" customHeight="1">
      <c r="A2" s="27" t="s">
        <v>48</v>
      </c>
      <c r="B2" s="27" t="s">
        <v>49</v>
      </c>
      <c r="C2" s="27" t="s">
        <v>50</v>
      </c>
      <c r="D2" s="27" t="s">
        <v>51</v>
      </c>
      <c r="E2" s="28" t="s">
        <v>52</v>
      </c>
      <c r="F2" s="29" t="s">
        <v>53</v>
      </c>
      <c r="G2" s="30" t="s">
        <v>54</v>
      </c>
      <c r="H2" s="30" t="s">
        <v>55</v>
      </c>
      <c r="I2" s="30" t="s">
        <v>56</v>
      </c>
      <c r="J2" s="30" t="s">
        <v>57</v>
      </c>
      <c r="K2" s="30" t="s">
        <v>58</v>
      </c>
      <c r="L2" s="30" t="s">
        <v>59</v>
      </c>
      <c r="M2" s="30" t="s">
        <v>60</v>
      </c>
      <c r="N2" s="30" t="s">
        <v>61</v>
      </c>
      <c r="O2" s="31" t="s">
        <v>62</v>
      </c>
      <c r="P2" s="32" t="s">
        <v>63</v>
      </c>
      <c r="Q2" s="30" t="s">
        <v>64</v>
      </c>
      <c r="R2" s="30" t="s">
        <v>65</v>
      </c>
      <c r="S2" s="30" t="s">
        <v>66</v>
      </c>
      <c r="T2" s="30" t="s">
        <v>67</v>
      </c>
      <c r="U2" s="30" t="s">
        <v>68</v>
      </c>
      <c r="V2" s="30" t="s">
        <v>69</v>
      </c>
      <c r="W2" s="30" t="s">
        <v>70</v>
      </c>
      <c r="X2" s="30" t="s">
        <v>71</v>
      </c>
      <c r="Y2" s="31" t="s">
        <v>72</v>
      </c>
      <c r="Z2" s="32" t="s">
        <v>73</v>
      </c>
    </row>
    <row r="3" spans="1:26" s="124" customFormat="1" ht="14.25" customHeight="1">
      <c r="A3" s="120">
        <v>202302</v>
      </c>
      <c r="B3" s="119" t="s">
        <v>74</v>
      </c>
      <c r="C3" s="119" t="s">
        <v>75</v>
      </c>
      <c r="D3" s="119" t="s">
        <v>76</v>
      </c>
      <c r="E3" s="121">
        <f t="shared" ref="E3:E76" si="0">O3+Y3</f>
        <v>34</v>
      </c>
      <c r="F3" s="122">
        <v>1</v>
      </c>
      <c r="G3" s="120">
        <v>2900884736</v>
      </c>
      <c r="H3" s="119">
        <v>1</v>
      </c>
      <c r="I3" s="119">
        <v>175.5</v>
      </c>
      <c r="J3" s="119">
        <v>2</v>
      </c>
      <c r="K3" s="119">
        <v>0.47243130227001101</v>
      </c>
      <c r="L3" s="119">
        <v>11</v>
      </c>
      <c r="M3" s="119">
        <v>12.8250795282705</v>
      </c>
      <c r="N3" s="119">
        <v>6</v>
      </c>
      <c r="O3" s="119">
        <f t="shared" ref="O3:O76" si="1">H3+J3+L3+N3</f>
        <v>20</v>
      </c>
      <c r="P3" s="122">
        <v>1</v>
      </c>
      <c r="Q3" s="119">
        <v>20.1031998535003</v>
      </c>
      <c r="R3" s="119">
        <v>4</v>
      </c>
      <c r="S3" s="119">
        <v>18.848203888380699</v>
      </c>
      <c r="T3" s="119">
        <v>4</v>
      </c>
      <c r="U3" s="119">
        <v>101.816958696471</v>
      </c>
      <c r="V3" s="119">
        <v>3</v>
      </c>
      <c r="W3" s="123">
        <v>881368627.07145596</v>
      </c>
      <c r="X3" s="119">
        <v>3</v>
      </c>
      <c r="Y3" s="119">
        <f t="shared" ref="Y3:Y76" si="2">R3+T3+V3+X3</f>
        <v>14</v>
      </c>
      <c r="Z3" s="122">
        <v>17</v>
      </c>
    </row>
    <row r="4" spans="1:26" ht="13.8" customHeight="1">
      <c r="A4" s="33">
        <v>202302</v>
      </c>
      <c r="B4" s="34" t="s">
        <v>77</v>
      </c>
      <c r="C4" s="34" t="s">
        <v>11</v>
      </c>
      <c r="D4" s="34" t="s">
        <v>78</v>
      </c>
      <c r="E4" s="35">
        <f t="shared" si="0"/>
        <v>49</v>
      </c>
      <c r="F4" s="36">
        <v>2</v>
      </c>
      <c r="G4" s="37">
        <v>1521773101.5</v>
      </c>
      <c r="H4" s="34">
        <v>15</v>
      </c>
      <c r="I4" s="34">
        <v>171</v>
      </c>
      <c r="J4" s="34">
        <v>3</v>
      </c>
      <c r="K4" s="34">
        <v>0.40777643409222297</v>
      </c>
      <c r="L4" s="34">
        <v>25</v>
      </c>
      <c r="M4" s="34">
        <v>10.681811474164499</v>
      </c>
      <c r="N4" s="34">
        <v>1</v>
      </c>
      <c r="O4" s="34">
        <f t="shared" si="1"/>
        <v>44</v>
      </c>
      <c r="P4" s="36">
        <v>4</v>
      </c>
      <c r="Q4" s="34">
        <v>14.0855931494857</v>
      </c>
      <c r="R4" s="34">
        <v>1</v>
      </c>
      <c r="S4" s="34">
        <v>29.449571190957499</v>
      </c>
      <c r="T4" s="34">
        <v>1</v>
      </c>
      <c r="U4" s="34">
        <v>181.84701120891501</v>
      </c>
      <c r="V4" s="34">
        <v>1</v>
      </c>
      <c r="W4" s="37">
        <v>3466813550.1001601</v>
      </c>
      <c r="X4" s="34">
        <v>2</v>
      </c>
      <c r="Y4" s="34">
        <f t="shared" si="2"/>
        <v>5</v>
      </c>
      <c r="Z4" s="36">
        <v>1</v>
      </c>
    </row>
    <row r="5" spans="1:26" s="124" customFormat="1" ht="14.25" customHeight="1">
      <c r="A5" s="120">
        <v>202302</v>
      </c>
      <c r="B5" s="119" t="s">
        <v>74</v>
      </c>
      <c r="C5" s="119" t="s">
        <v>75</v>
      </c>
      <c r="D5" s="119" t="s">
        <v>79</v>
      </c>
      <c r="E5" s="121">
        <f t="shared" si="0"/>
        <v>56</v>
      </c>
      <c r="F5" s="122">
        <v>3</v>
      </c>
      <c r="G5" s="120">
        <v>2087842409</v>
      </c>
      <c r="H5" s="119">
        <v>9</v>
      </c>
      <c r="I5" s="119">
        <v>126.5</v>
      </c>
      <c r="J5" s="119">
        <v>11</v>
      </c>
      <c r="K5" s="119">
        <v>0.45347985347985298</v>
      </c>
      <c r="L5" s="119">
        <v>16</v>
      </c>
      <c r="M5" s="119">
        <v>12.8250795282705</v>
      </c>
      <c r="N5" s="119">
        <v>6</v>
      </c>
      <c r="O5" s="119">
        <f t="shared" si="1"/>
        <v>42</v>
      </c>
      <c r="P5" s="122">
        <v>3</v>
      </c>
      <c r="Q5" s="119">
        <v>20.1031998535003</v>
      </c>
      <c r="R5" s="119">
        <v>4</v>
      </c>
      <c r="S5" s="119">
        <v>18.848203888380699</v>
      </c>
      <c r="T5" s="119">
        <v>4</v>
      </c>
      <c r="U5" s="119">
        <v>101.816958696471</v>
      </c>
      <c r="V5" s="119">
        <v>3</v>
      </c>
      <c r="W5" s="123">
        <v>881368627.07145596</v>
      </c>
      <c r="X5" s="119">
        <v>3</v>
      </c>
      <c r="Y5" s="119">
        <f t="shared" si="2"/>
        <v>14</v>
      </c>
      <c r="Z5" s="122">
        <v>17</v>
      </c>
    </row>
    <row r="6" spans="1:26" s="124" customFormat="1" ht="14.25" customHeight="1">
      <c r="A6" s="120">
        <v>202302</v>
      </c>
      <c r="B6" s="119" t="s">
        <v>74</v>
      </c>
      <c r="C6" s="119" t="s">
        <v>75</v>
      </c>
      <c r="D6" s="119" t="s">
        <v>80</v>
      </c>
      <c r="E6" s="121">
        <f t="shared" si="0"/>
        <v>58</v>
      </c>
      <c r="F6" s="122">
        <v>4</v>
      </c>
      <c r="G6" s="120">
        <v>2188652717</v>
      </c>
      <c r="H6" s="119">
        <v>4</v>
      </c>
      <c r="I6" s="119">
        <v>179.5</v>
      </c>
      <c r="J6" s="119">
        <v>1</v>
      </c>
      <c r="K6" s="119">
        <v>0.36980093644752299</v>
      </c>
      <c r="L6" s="119">
        <v>33</v>
      </c>
      <c r="M6" s="119">
        <v>12.8250795282705</v>
      </c>
      <c r="N6" s="119">
        <v>6</v>
      </c>
      <c r="O6" s="119">
        <f t="shared" si="1"/>
        <v>44</v>
      </c>
      <c r="P6" s="122">
        <v>4</v>
      </c>
      <c r="Q6" s="119">
        <v>20.1031998535003</v>
      </c>
      <c r="R6" s="119">
        <v>4</v>
      </c>
      <c r="S6" s="119">
        <v>18.848203888380699</v>
      </c>
      <c r="T6" s="119">
        <v>4</v>
      </c>
      <c r="U6" s="119">
        <v>101.816958696471</v>
      </c>
      <c r="V6" s="119">
        <v>3</v>
      </c>
      <c r="W6" s="123">
        <v>881368627.07145596</v>
      </c>
      <c r="X6" s="119">
        <v>3</v>
      </c>
      <c r="Y6" s="119">
        <f t="shared" si="2"/>
        <v>14</v>
      </c>
      <c r="Z6" s="122">
        <v>17</v>
      </c>
    </row>
    <row r="7" spans="1:26" ht="14.25" customHeight="1">
      <c r="A7" s="33">
        <v>202302</v>
      </c>
      <c r="B7" s="34" t="s">
        <v>81</v>
      </c>
      <c r="C7" s="34" t="s">
        <v>10</v>
      </c>
      <c r="D7" s="34" t="s">
        <v>82</v>
      </c>
      <c r="E7" s="35">
        <f t="shared" si="0"/>
        <v>59</v>
      </c>
      <c r="F7" s="36">
        <v>5</v>
      </c>
      <c r="G7" s="33">
        <v>2548286164</v>
      </c>
      <c r="H7" s="34">
        <v>2</v>
      </c>
      <c r="I7" s="34">
        <v>152</v>
      </c>
      <c r="J7" s="34">
        <v>4</v>
      </c>
      <c r="K7" s="34">
        <v>0.55506535947712399</v>
      </c>
      <c r="L7" s="34">
        <v>7</v>
      </c>
      <c r="M7" s="34">
        <v>13.558481643551699</v>
      </c>
      <c r="N7" s="34">
        <v>28</v>
      </c>
      <c r="O7" s="34">
        <f t="shared" si="1"/>
        <v>41</v>
      </c>
      <c r="P7" s="36">
        <v>2</v>
      </c>
      <c r="Q7" s="34">
        <v>27.270304931443299</v>
      </c>
      <c r="R7" s="34">
        <v>7</v>
      </c>
      <c r="S7" s="34">
        <v>19.9744385272665</v>
      </c>
      <c r="T7" s="34">
        <v>3</v>
      </c>
      <c r="U7" s="34">
        <v>84.289473302445003</v>
      </c>
      <c r="V7" s="34">
        <v>4</v>
      </c>
      <c r="W7" s="37">
        <v>841835788.15154099</v>
      </c>
      <c r="X7" s="34">
        <v>4</v>
      </c>
      <c r="Y7" s="34">
        <f t="shared" si="2"/>
        <v>18</v>
      </c>
      <c r="Z7" s="36">
        <v>39</v>
      </c>
    </row>
    <row r="8" spans="1:26" ht="14.25" customHeight="1">
      <c r="A8" s="33">
        <v>202302</v>
      </c>
      <c r="B8" s="34" t="s">
        <v>77</v>
      </c>
      <c r="C8" s="34" t="s">
        <v>11</v>
      </c>
      <c r="D8" s="34" t="s">
        <v>83</v>
      </c>
      <c r="E8" s="35">
        <f t="shared" si="0"/>
        <v>61</v>
      </c>
      <c r="F8" s="36">
        <v>6</v>
      </c>
      <c r="G8" s="37">
        <v>1283818193.5</v>
      </c>
      <c r="H8" s="34">
        <v>21</v>
      </c>
      <c r="I8" s="34">
        <v>140</v>
      </c>
      <c r="J8" s="34">
        <v>7</v>
      </c>
      <c r="K8" s="34">
        <v>0.393272697476237</v>
      </c>
      <c r="L8" s="34">
        <v>27</v>
      </c>
      <c r="M8" s="34">
        <v>10.681811474164499</v>
      </c>
      <c r="N8" s="34">
        <v>1</v>
      </c>
      <c r="O8" s="34">
        <f t="shared" si="1"/>
        <v>56</v>
      </c>
      <c r="P8" s="36">
        <v>10</v>
      </c>
      <c r="Q8" s="34">
        <v>14.0855931494857</v>
      </c>
      <c r="R8" s="34">
        <v>1</v>
      </c>
      <c r="S8" s="34">
        <v>29.449571190957499</v>
      </c>
      <c r="T8" s="34">
        <v>1</v>
      </c>
      <c r="U8" s="34">
        <v>181.84701120891501</v>
      </c>
      <c r="V8" s="34">
        <v>1</v>
      </c>
      <c r="W8" s="37">
        <v>3466813550.1001601</v>
      </c>
      <c r="X8" s="34">
        <v>2</v>
      </c>
      <c r="Y8" s="34">
        <f t="shared" si="2"/>
        <v>5</v>
      </c>
      <c r="Z8" s="36">
        <v>1</v>
      </c>
    </row>
    <row r="9" spans="1:26" ht="14.25" customHeight="1">
      <c r="A9" s="33">
        <v>202302</v>
      </c>
      <c r="B9" s="34" t="s">
        <v>74</v>
      </c>
      <c r="C9" s="34" t="s">
        <v>75</v>
      </c>
      <c r="D9" s="34" t="s">
        <v>84</v>
      </c>
      <c r="E9" s="35">
        <f t="shared" si="0"/>
        <v>66</v>
      </c>
      <c r="F9" s="36">
        <v>7</v>
      </c>
      <c r="G9" s="37">
        <v>1303398161.5</v>
      </c>
      <c r="H9" s="34">
        <v>19</v>
      </c>
      <c r="I9" s="34">
        <v>139.5</v>
      </c>
      <c r="J9" s="34">
        <v>8</v>
      </c>
      <c r="K9" s="34">
        <v>0.44760479041916101</v>
      </c>
      <c r="L9" s="34">
        <v>19</v>
      </c>
      <c r="M9" s="34">
        <v>12.8250795282705</v>
      </c>
      <c r="N9" s="34">
        <v>6</v>
      </c>
      <c r="O9" s="34">
        <f t="shared" si="1"/>
        <v>52</v>
      </c>
      <c r="P9" s="36">
        <v>7</v>
      </c>
      <c r="Q9" s="34">
        <v>20.1031998535003</v>
      </c>
      <c r="R9" s="34">
        <v>4</v>
      </c>
      <c r="S9" s="34">
        <v>18.848203888380699</v>
      </c>
      <c r="T9" s="34">
        <v>4</v>
      </c>
      <c r="U9" s="34">
        <v>101.816958696471</v>
      </c>
      <c r="V9" s="34">
        <v>3</v>
      </c>
      <c r="W9" s="37">
        <v>881368627.07145596</v>
      </c>
      <c r="X9" s="34">
        <v>3</v>
      </c>
      <c r="Y9" s="34">
        <f t="shared" si="2"/>
        <v>14</v>
      </c>
      <c r="Z9" s="36">
        <v>17</v>
      </c>
    </row>
    <row r="10" spans="1:26" ht="14.25" customHeight="1">
      <c r="A10" s="33">
        <v>202302</v>
      </c>
      <c r="B10" s="34" t="s">
        <v>74</v>
      </c>
      <c r="C10" s="34" t="s">
        <v>75</v>
      </c>
      <c r="D10" s="34" t="s">
        <v>85</v>
      </c>
      <c r="E10" s="35">
        <f t="shared" si="0"/>
        <v>68</v>
      </c>
      <c r="F10" s="36">
        <v>8</v>
      </c>
      <c r="G10" s="33">
        <v>1910695713</v>
      </c>
      <c r="H10" s="34">
        <v>11</v>
      </c>
      <c r="I10" s="34">
        <v>113</v>
      </c>
      <c r="J10" s="34">
        <v>13</v>
      </c>
      <c r="K10" s="34">
        <v>0.41406641081261403</v>
      </c>
      <c r="L10" s="34">
        <v>24</v>
      </c>
      <c r="M10" s="34">
        <v>12.8250795282705</v>
      </c>
      <c r="N10" s="34">
        <v>6</v>
      </c>
      <c r="O10" s="34">
        <f t="shared" si="1"/>
        <v>54</v>
      </c>
      <c r="P10" s="36">
        <v>9</v>
      </c>
      <c r="Q10" s="34">
        <v>20.1031998535003</v>
      </c>
      <c r="R10" s="34">
        <v>4</v>
      </c>
      <c r="S10" s="34">
        <v>18.848203888380699</v>
      </c>
      <c r="T10" s="34">
        <v>4</v>
      </c>
      <c r="U10" s="34">
        <v>101.816958696471</v>
      </c>
      <c r="V10" s="34">
        <v>3</v>
      </c>
      <c r="W10" s="37">
        <v>881368627.07145596</v>
      </c>
      <c r="X10" s="34">
        <v>3</v>
      </c>
      <c r="Y10" s="34">
        <f t="shared" si="2"/>
        <v>14</v>
      </c>
      <c r="Z10" s="36">
        <v>17</v>
      </c>
    </row>
    <row r="11" spans="1:26" s="132" customFormat="1" ht="14.25" customHeight="1">
      <c r="A11" s="127">
        <v>202302</v>
      </c>
      <c r="B11" s="128" t="s">
        <v>86</v>
      </c>
      <c r="C11" s="128" t="s">
        <v>8</v>
      </c>
      <c r="D11" s="128" t="s">
        <v>87</v>
      </c>
      <c r="E11" s="129">
        <f t="shared" si="0"/>
        <v>70</v>
      </c>
      <c r="F11" s="130">
        <v>9</v>
      </c>
      <c r="G11" s="131">
        <v>2123958547.5</v>
      </c>
      <c r="H11" s="128">
        <v>7</v>
      </c>
      <c r="I11" s="128">
        <v>151.5</v>
      </c>
      <c r="J11" s="128">
        <v>5</v>
      </c>
      <c r="K11" s="128">
        <v>3.2530241935483799</v>
      </c>
      <c r="L11" s="128">
        <v>1</v>
      </c>
      <c r="M11" s="128">
        <v>14.539274531643199</v>
      </c>
      <c r="N11" s="128">
        <v>33</v>
      </c>
      <c r="O11" s="128">
        <f t="shared" si="1"/>
        <v>46</v>
      </c>
      <c r="P11" s="130">
        <v>6</v>
      </c>
      <c r="Q11" s="128">
        <v>22.691978636807502</v>
      </c>
      <c r="R11" s="128">
        <v>6</v>
      </c>
      <c r="S11" s="128">
        <v>1.0266575271221601</v>
      </c>
      <c r="T11" s="128">
        <v>6</v>
      </c>
      <c r="U11" s="128">
        <v>4.6476287723616903</v>
      </c>
      <c r="V11" s="128">
        <v>6</v>
      </c>
      <c r="W11" s="131">
        <v>63801759.953966498</v>
      </c>
      <c r="X11" s="128">
        <v>6</v>
      </c>
      <c r="Y11" s="128">
        <f t="shared" si="2"/>
        <v>24</v>
      </c>
      <c r="Z11" s="130">
        <v>52</v>
      </c>
    </row>
    <row r="12" spans="1:26" ht="14.25" customHeight="1">
      <c r="A12" s="33">
        <v>202302</v>
      </c>
      <c r="B12" s="34" t="s">
        <v>81</v>
      </c>
      <c r="C12" s="34" t="s">
        <v>10</v>
      </c>
      <c r="D12" s="34" t="s">
        <v>88</v>
      </c>
      <c r="E12" s="35">
        <f t="shared" si="0"/>
        <v>71</v>
      </c>
      <c r="F12" s="36">
        <v>10</v>
      </c>
      <c r="G12" s="33">
        <v>2254842049</v>
      </c>
      <c r="H12" s="34">
        <v>3</v>
      </c>
      <c r="I12" s="34">
        <v>132.5</v>
      </c>
      <c r="J12" s="34">
        <v>10</v>
      </c>
      <c r="K12" s="34">
        <v>0.46456925608217098</v>
      </c>
      <c r="L12" s="34">
        <v>12</v>
      </c>
      <c r="M12" s="34">
        <v>13.558481643551699</v>
      </c>
      <c r="N12" s="34">
        <v>28</v>
      </c>
      <c r="O12" s="34">
        <f t="shared" si="1"/>
        <v>53</v>
      </c>
      <c r="P12" s="36">
        <v>8</v>
      </c>
      <c r="Q12" s="34">
        <v>27.270304931443299</v>
      </c>
      <c r="R12" s="34">
        <v>7</v>
      </c>
      <c r="S12" s="34">
        <v>19.9744385272665</v>
      </c>
      <c r="T12" s="34">
        <v>3</v>
      </c>
      <c r="U12" s="34">
        <v>84.289473302445003</v>
      </c>
      <c r="V12" s="34">
        <v>4</v>
      </c>
      <c r="W12" s="37">
        <v>841835788.15154099</v>
      </c>
      <c r="X12" s="34">
        <v>4</v>
      </c>
      <c r="Y12" s="34">
        <f t="shared" si="2"/>
        <v>18</v>
      </c>
      <c r="Z12" s="36">
        <v>39</v>
      </c>
    </row>
    <row r="13" spans="1:26" ht="14.25" customHeight="1">
      <c r="A13" s="33">
        <v>202302</v>
      </c>
      <c r="B13" s="34" t="s">
        <v>74</v>
      </c>
      <c r="C13" s="34" t="s">
        <v>75</v>
      </c>
      <c r="D13" s="34" t="s">
        <v>89</v>
      </c>
      <c r="E13" s="35">
        <f t="shared" si="0"/>
        <v>79</v>
      </c>
      <c r="F13" s="36">
        <v>11</v>
      </c>
      <c r="G13" s="33">
        <v>1147041011.5</v>
      </c>
      <c r="H13" s="34">
        <v>24</v>
      </c>
      <c r="I13" s="34">
        <v>91.5</v>
      </c>
      <c r="J13" s="34">
        <v>17</v>
      </c>
      <c r="K13" s="34">
        <v>0.44871794871794801</v>
      </c>
      <c r="L13" s="34">
        <v>18</v>
      </c>
      <c r="M13" s="34">
        <v>12.8250795282705</v>
      </c>
      <c r="N13" s="34">
        <v>6</v>
      </c>
      <c r="O13" s="34">
        <f t="shared" si="1"/>
        <v>65</v>
      </c>
      <c r="P13" s="36">
        <v>13</v>
      </c>
      <c r="Q13" s="34">
        <v>20.1031998535003</v>
      </c>
      <c r="R13" s="34">
        <v>4</v>
      </c>
      <c r="S13" s="34">
        <v>18.848203888380699</v>
      </c>
      <c r="T13" s="34">
        <v>4</v>
      </c>
      <c r="U13" s="34">
        <v>101.816958696471</v>
      </c>
      <c r="V13" s="34">
        <v>3</v>
      </c>
      <c r="W13" s="37">
        <v>881368627.07145596</v>
      </c>
      <c r="X13" s="34">
        <v>3</v>
      </c>
      <c r="Y13" s="34">
        <f t="shared" si="2"/>
        <v>14</v>
      </c>
      <c r="Z13" s="36">
        <v>17</v>
      </c>
    </row>
    <row r="14" spans="1:26" ht="14.25" customHeight="1">
      <c r="A14" s="33">
        <v>202302</v>
      </c>
      <c r="B14" s="34" t="s">
        <v>77</v>
      </c>
      <c r="C14" s="34" t="s">
        <v>11</v>
      </c>
      <c r="D14" s="34" t="s">
        <v>90</v>
      </c>
      <c r="E14" s="35">
        <f t="shared" si="0"/>
        <v>79</v>
      </c>
      <c r="F14" s="36">
        <v>11</v>
      </c>
      <c r="G14" s="37">
        <v>987132875</v>
      </c>
      <c r="H14" s="34">
        <v>32</v>
      </c>
      <c r="I14" s="34">
        <v>90.5</v>
      </c>
      <c r="J14" s="34">
        <v>19</v>
      </c>
      <c r="K14" s="34">
        <v>0.42177845185934099</v>
      </c>
      <c r="L14" s="34">
        <v>22</v>
      </c>
      <c r="M14" s="34">
        <v>10.681811474164499</v>
      </c>
      <c r="N14" s="34">
        <v>1</v>
      </c>
      <c r="O14" s="34">
        <f t="shared" si="1"/>
        <v>74</v>
      </c>
      <c r="P14" s="36">
        <v>16</v>
      </c>
      <c r="Q14" s="34">
        <v>14.0855931494857</v>
      </c>
      <c r="R14" s="34">
        <v>1</v>
      </c>
      <c r="S14" s="34">
        <v>29.449571190957499</v>
      </c>
      <c r="T14" s="34">
        <v>1</v>
      </c>
      <c r="U14" s="34">
        <v>181.84701120891501</v>
      </c>
      <c r="V14" s="34">
        <v>1</v>
      </c>
      <c r="W14" s="37">
        <v>3466813550.1001601</v>
      </c>
      <c r="X14" s="34">
        <v>2</v>
      </c>
      <c r="Y14" s="34">
        <f t="shared" si="2"/>
        <v>5</v>
      </c>
      <c r="Z14" s="36">
        <v>1</v>
      </c>
    </row>
    <row r="15" spans="1:26" ht="14.25" customHeight="1">
      <c r="A15" s="33">
        <v>202302</v>
      </c>
      <c r="B15" s="34" t="s">
        <v>77</v>
      </c>
      <c r="C15" s="34" t="s">
        <v>11</v>
      </c>
      <c r="D15" s="34" t="s">
        <v>91</v>
      </c>
      <c r="E15" s="35">
        <f t="shared" si="0"/>
        <v>80</v>
      </c>
      <c r="F15" s="36">
        <v>13</v>
      </c>
      <c r="G15" s="37">
        <v>624192741.5</v>
      </c>
      <c r="H15" s="34">
        <v>46</v>
      </c>
      <c r="I15" s="34">
        <v>82.5</v>
      </c>
      <c r="J15" s="34">
        <v>23</v>
      </c>
      <c r="K15" s="34">
        <v>0.57512334871876403</v>
      </c>
      <c r="L15" s="34">
        <v>5</v>
      </c>
      <c r="M15" s="34">
        <v>10.681811474164499</v>
      </c>
      <c r="N15" s="34">
        <v>1</v>
      </c>
      <c r="O15" s="34">
        <f t="shared" si="1"/>
        <v>75</v>
      </c>
      <c r="P15" s="36">
        <v>17</v>
      </c>
      <c r="Q15" s="34">
        <v>14.0855931494857</v>
      </c>
      <c r="R15" s="34">
        <v>1</v>
      </c>
      <c r="S15" s="34">
        <v>29.449571190957499</v>
      </c>
      <c r="T15" s="34">
        <v>1</v>
      </c>
      <c r="U15" s="34">
        <v>181.84701120891501</v>
      </c>
      <c r="V15" s="34">
        <v>1</v>
      </c>
      <c r="W15" s="37">
        <v>3466813550.1001601</v>
      </c>
      <c r="X15" s="34">
        <v>2</v>
      </c>
      <c r="Y15" s="34">
        <f t="shared" si="2"/>
        <v>5</v>
      </c>
      <c r="Z15" s="36">
        <v>1</v>
      </c>
    </row>
    <row r="16" spans="1:26" s="132" customFormat="1" ht="14.25" customHeight="1">
      <c r="A16" s="127">
        <v>202302</v>
      </c>
      <c r="B16" s="128" t="s">
        <v>86</v>
      </c>
      <c r="C16" s="128" t="s">
        <v>8</v>
      </c>
      <c r="D16" s="128" t="s">
        <v>92</v>
      </c>
      <c r="E16" s="129">
        <f t="shared" si="0"/>
        <v>82</v>
      </c>
      <c r="F16" s="130">
        <v>14</v>
      </c>
      <c r="G16" s="127">
        <v>2110776372</v>
      </c>
      <c r="H16" s="128">
        <v>8</v>
      </c>
      <c r="I16" s="128">
        <v>133.5</v>
      </c>
      <c r="J16" s="128">
        <v>9</v>
      </c>
      <c r="K16" s="128">
        <v>0.53197368421052604</v>
      </c>
      <c r="L16" s="128">
        <v>8</v>
      </c>
      <c r="M16" s="128">
        <v>14.539274531643199</v>
      </c>
      <c r="N16" s="128">
        <v>33</v>
      </c>
      <c r="O16" s="128">
        <f t="shared" si="1"/>
        <v>58</v>
      </c>
      <c r="P16" s="130">
        <v>11</v>
      </c>
      <c r="Q16" s="128">
        <v>22.691978636807502</v>
      </c>
      <c r="R16" s="128">
        <v>6</v>
      </c>
      <c r="S16" s="128">
        <v>1.0266575271221601</v>
      </c>
      <c r="T16" s="128">
        <v>6</v>
      </c>
      <c r="U16" s="128">
        <v>4.6476287723616903</v>
      </c>
      <c r="V16" s="128">
        <v>6</v>
      </c>
      <c r="W16" s="131">
        <v>63801759.953966498</v>
      </c>
      <c r="X16" s="128">
        <v>6</v>
      </c>
      <c r="Y16" s="128">
        <f t="shared" si="2"/>
        <v>24</v>
      </c>
      <c r="Z16" s="130">
        <v>52</v>
      </c>
    </row>
    <row r="17" spans="1:26" ht="14.25" customHeight="1">
      <c r="A17" s="33">
        <v>202302</v>
      </c>
      <c r="B17" s="34" t="s">
        <v>81</v>
      </c>
      <c r="C17" s="34" t="s">
        <v>10</v>
      </c>
      <c r="D17" s="34" t="s">
        <v>93</v>
      </c>
      <c r="E17" s="35">
        <f t="shared" si="0"/>
        <v>82</v>
      </c>
      <c r="F17" s="36">
        <v>14</v>
      </c>
      <c r="G17" s="37">
        <v>1977145358.5</v>
      </c>
      <c r="H17" s="34">
        <v>10</v>
      </c>
      <c r="I17" s="34">
        <v>146</v>
      </c>
      <c r="J17" s="34">
        <v>6</v>
      </c>
      <c r="K17" s="34">
        <v>0.440092879256965</v>
      </c>
      <c r="L17" s="34">
        <v>20</v>
      </c>
      <c r="M17" s="34">
        <v>13.558481643551699</v>
      </c>
      <c r="N17" s="34">
        <v>28</v>
      </c>
      <c r="O17" s="34">
        <f t="shared" si="1"/>
        <v>64</v>
      </c>
      <c r="P17" s="36">
        <v>12</v>
      </c>
      <c r="Q17" s="34">
        <v>27.270304931443299</v>
      </c>
      <c r="R17" s="34">
        <v>7</v>
      </c>
      <c r="S17" s="34">
        <v>19.9744385272665</v>
      </c>
      <c r="T17" s="34">
        <v>3</v>
      </c>
      <c r="U17" s="34">
        <v>84.289473302445003</v>
      </c>
      <c r="V17" s="34">
        <v>4</v>
      </c>
      <c r="W17" s="37">
        <v>841835788.15154099</v>
      </c>
      <c r="X17" s="34">
        <v>4</v>
      </c>
      <c r="Y17" s="34">
        <f t="shared" si="2"/>
        <v>18</v>
      </c>
      <c r="Z17" s="36">
        <v>39</v>
      </c>
    </row>
    <row r="18" spans="1:26" ht="14.25" customHeight="1">
      <c r="A18" s="33">
        <v>202302</v>
      </c>
      <c r="B18" s="34" t="s">
        <v>74</v>
      </c>
      <c r="C18" s="34" t="s">
        <v>75</v>
      </c>
      <c r="D18" s="34" t="s">
        <v>94</v>
      </c>
      <c r="E18" s="35">
        <f t="shared" si="0"/>
        <v>87</v>
      </c>
      <c r="F18" s="36">
        <v>16</v>
      </c>
      <c r="G18" s="33">
        <v>1415326764</v>
      </c>
      <c r="H18" s="34">
        <v>17</v>
      </c>
      <c r="I18" s="34">
        <v>83.5</v>
      </c>
      <c r="J18" s="34">
        <v>22</v>
      </c>
      <c r="K18" s="34">
        <v>0.38843161574021801</v>
      </c>
      <c r="L18" s="34">
        <v>28</v>
      </c>
      <c r="M18" s="34">
        <v>12.8250795282705</v>
      </c>
      <c r="N18" s="34">
        <v>6</v>
      </c>
      <c r="O18" s="34">
        <f t="shared" si="1"/>
        <v>73</v>
      </c>
      <c r="P18" s="36">
        <v>15</v>
      </c>
      <c r="Q18" s="34">
        <v>20.1031998535003</v>
      </c>
      <c r="R18" s="34">
        <v>4</v>
      </c>
      <c r="S18" s="34">
        <v>18.848203888380699</v>
      </c>
      <c r="T18" s="34">
        <v>4</v>
      </c>
      <c r="U18" s="34">
        <v>101.816958696471</v>
      </c>
      <c r="V18" s="34">
        <v>3</v>
      </c>
      <c r="W18" s="37">
        <v>881368627.07145596</v>
      </c>
      <c r="X18" s="34">
        <v>3</v>
      </c>
      <c r="Y18" s="34">
        <f t="shared" si="2"/>
        <v>14</v>
      </c>
      <c r="Z18" s="36">
        <v>17</v>
      </c>
    </row>
    <row r="19" spans="1:26" ht="14.25" customHeight="1">
      <c r="A19" s="33">
        <v>202302</v>
      </c>
      <c r="B19" s="34" t="s">
        <v>81</v>
      </c>
      <c r="C19" s="34" t="s">
        <v>10</v>
      </c>
      <c r="D19" s="34" t="s">
        <v>95</v>
      </c>
      <c r="E19" s="35">
        <f t="shared" si="0"/>
        <v>89</v>
      </c>
      <c r="F19" s="36">
        <v>17</v>
      </c>
      <c r="G19" s="37">
        <v>1603098502.5</v>
      </c>
      <c r="H19" s="34">
        <v>13</v>
      </c>
      <c r="I19" s="34">
        <v>100.5</v>
      </c>
      <c r="J19" s="34">
        <v>16</v>
      </c>
      <c r="K19" s="34">
        <v>0.46159795735798398</v>
      </c>
      <c r="L19" s="34">
        <v>14</v>
      </c>
      <c r="M19" s="34">
        <v>13.558481643551699</v>
      </c>
      <c r="N19" s="34">
        <v>28</v>
      </c>
      <c r="O19" s="34">
        <f t="shared" si="1"/>
        <v>71</v>
      </c>
      <c r="P19" s="36">
        <v>14</v>
      </c>
      <c r="Q19" s="34">
        <v>27.270304931443299</v>
      </c>
      <c r="R19" s="34">
        <v>7</v>
      </c>
      <c r="S19" s="34">
        <v>19.9744385272665</v>
      </c>
      <c r="T19" s="34">
        <v>3</v>
      </c>
      <c r="U19" s="34">
        <v>84.289473302445003</v>
      </c>
      <c r="V19" s="34">
        <v>4</v>
      </c>
      <c r="W19" s="37">
        <v>841835788.15154099</v>
      </c>
      <c r="X19" s="34">
        <v>4</v>
      </c>
      <c r="Y19" s="34">
        <f t="shared" si="2"/>
        <v>18</v>
      </c>
      <c r="Z19" s="36">
        <v>39</v>
      </c>
    </row>
    <row r="20" spans="1:26" ht="14.25" customHeight="1">
      <c r="A20" s="33">
        <v>202302</v>
      </c>
      <c r="B20" s="34" t="s">
        <v>74</v>
      </c>
      <c r="C20" s="34" t="s">
        <v>75</v>
      </c>
      <c r="D20" s="34" t="s">
        <v>96</v>
      </c>
      <c r="E20" s="35">
        <f t="shared" si="0"/>
        <v>90</v>
      </c>
      <c r="F20" s="36">
        <v>17</v>
      </c>
      <c r="G20" s="33">
        <v>1631302214</v>
      </c>
      <c r="H20" s="34">
        <v>12</v>
      </c>
      <c r="I20" s="34">
        <v>108</v>
      </c>
      <c r="J20" s="34">
        <v>14</v>
      </c>
      <c r="K20" s="34">
        <v>0.3125</v>
      </c>
      <c r="L20" s="34">
        <v>44</v>
      </c>
      <c r="M20" s="34">
        <v>12.8250795282705</v>
      </c>
      <c r="N20" s="34">
        <v>6</v>
      </c>
      <c r="O20" s="34">
        <f t="shared" si="1"/>
        <v>76</v>
      </c>
      <c r="P20" s="36">
        <v>18</v>
      </c>
      <c r="Q20" s="34">
        <v>20.1031998535003</v>
      </c>
      <c r="R20" s="34">
        <v>4</v>
      </c>
      <c r="S20" s="34">
        <v>18.848203888380699</v>
      </c>
      <c r="T20" s="34">
        <v>4</v>
      </c>
      <c r="U20" s="34">
        <v>101.816958696471</v>
      </c>
      <c r="V20" s="34">
        <v>3</v>
      </c>
      <c r="W20" s="37">
        <v>881368627.07145596</v>
      </c>
      <c r="X20" s="34">
        <v>3</v>
      </c>
      <c r="Y20" s="34">
        <f t="shared" si="2"/>
        <v>14</v>
      </c>
      <c r="Z20" s="36">
        <v>17</v>
      </c>
    </row>
    <row r="21" spans="1:26" ht="14.25" customHeight="1">
      <c r="A21" s="33">
        <v>202302</v>
      </c>
      <c r="B21" s="34" t="s">
        <v>74</v>
      </c>
      <c r="C21" s="34" t="s">
        <v>75</v>
      </c>
      <c r="D21" s="34" t="s">
        <v>97</v>
      </c>
      <c r="E21" s="35">
        <f t="shared" si="0"/>
        <v>97</v>
      </c>
      <c r="F21" s="36">
        <v>19</v>
      </c>
      <c r="G21" s="33">
        <v>1222052760</v>
      </c>
      <c r="H21" s="34">
        <v>23</v>
      </c>
      <c r="I21" s="34">
        <v>90.5</v>
      </c>
      <c r="J21" s="34">
        <v>19</v>
      </c>
      <c r="K21" s="34">
        <v>0.35024630541871898</v>
      </c>
      <c r="L21" s="34">
        <v>35</v>
      </c>
      <c r="M21" s="34">
        <v>12.8250795282705</v>
      </c>
      <c r="N21" s="34">
        <v>6</v>
      </c>
      <c r="O21" s="34">
        <f t="shared" si="1"/>
        <v>83</v>
      </c>
      <c r="P21" s="36">
        <v>22</v>
      </c>
      <c r="Q21" s="34">
        <v>20.1031998535003</v>
      </c>
      <c r="R21" s="34">
        <v>4</v>
      </c>
      <c r="S21" s="34">
        <v>18.848203888380699</v>
      </c>
      <c r="T21" s="34">
        <v>4</v>
      </c>
      <c r="U21" s="34">
        <v>101.816958696471</v>
      </c>
      <c r="V21" s="34">
        <v>3</v>
      </c>
      <c r="W21" s="37">
        <v>881368627.07145596</v>
      </c>
      <c r="X21" s="34">
        <v>3</v>
      </c>
      <c r="Y21" s="34">
        <f t="shared" si="2"/>
        <v>14</v>
      </c>
      <c r="Z21" s="36">
        <v>17</v>
      </c>
    </row>
    <row r="22" spans="1:26" ht="14.25" customHeight="1">
      <c r="A22" s="33">
        <v>202302</v>
      </c>
      <c r="B22" s="34" t="s">
        <v>86</v>
      </c>
      <c r="C22" s="34" t="s">
        <v>8</v>
      </c>
      <c r="D22" s="34" t="s">
        <v>98</v>
      </c>
      <c r="E22" s="35">
        <f t="shared" si="0"/>
        <v>100</v>
      </c>
      <c r="F22" s="36">
        <v>20</v>
      </c>
      <c r="G22" s="37">
        <v>1540904507.5</v>
      </c>
      <c r="H22" s="34">
        <v>14</v>
      </c>
      <c r="I22" s="34">
        <v>80.5</v>
      </c>
      <c r="J22" s="34">
        <v>25</v>
      </c>
      <c r="K22" s="34">
        <v>0.89285714285714202</v>
      </c>
      <c r="L22" s="34">
        <v>4</v>
      </c>
      <c r="M22" s="34">
        <v>14.539274531643199</v>
      </c>
      <c r="N22" s="34">
        <v>33</v>
      </c>
      <c r="O22" s="34">
        <f t="shared" si="1"/>
        <v>76</v>
      </c>
      <c r="P22" s="36">
        <v>18</v>
      </c>
      <c r="Q22" s="34">
        <v>22.691978636807502</v>
      </c>
      <c r="R22" s="34">
        <v>6</v>
      </c>
      <c r="S22" s="34">
        <v>1.0266575271221601</v>
      </c>
      <c r="T22" s="34">
        <v>6</v>
      </c>
      <c r="U22" s="34">
        <v>4.6476287723616903</v>
      </c>
      <c r="V22" s="34">
        <v>6</v>
      </c>
      <c r="W22" s="37">
        <v>63801759.953966498</v>
      </c>
      <c r="X22" s="34">
        <v>6</v>
      </c>
      <c r="Y22" s="34">
        <f t="shared" si="2"/>
        <v>24</v>
      </c>
      <c r="Z22" s="36">
        <v>52</v>
      </c>
    </row>
    <row r="23" spans="1:26" ht="14.25" customHeight="1">
      <c r="A23" s="33">
        <v>202302</v>
      </c>
      <c r="B23" s="34" t="s">
        <v>74</v>
      </c>
      <c r="C23" s="34" t="s">
        <v>75</v>
      </c>
      <c r="D23" s="34" t="s">
        <v>99</v>
      </c>
      <c r="E23" s="35">
        <f t="shared" si="0"/>
        <v>103</v>
      </c>
      <c r="F23" s="36">
        <v>21</v>
      </c>
      <c r="G23" s="33">
        <v>1092993812.75</v>
      </c>
      <c r="H23" s="34">
        <v>27</v>
      </c>
      <c r="I23" s="34">
        <v>78.5</v>
      </c>
      <c r="J23" s="34">
        <v>27</v>
      </c>
      <c r="K23" s="34">
        <v>0.38609904015103402</v>
      </c>
      <c r="L23" s="34">
        <v>29</v>
      </c>
      <c r="M23" s="34">
        <v>12.8250795282705</v>
      </c>
      <c r="N23" s="34">
        <v>6</v>
      </c>
      <c r="O23" s="34">
        <f t="shared" si="1"/>
        <v>89</v>
      </c>
      <c r="P23" s="36">
        <v>24</v>
      </c>
      <c r="Q23" s="34">
        <v>20.1031998535003</v>
      </c>
      <c r="R23" s="34">
        <v>4</v>
      </c>
      <c r="S23" s="34">
        <v>18.848203888380699</v>
      </c>
      <c r="T23" s="34">
        <v>4</v>
      </c>
      <c r="U23" s="34">
        <v>101.816958696471</v>
      </c>
      <c r="V23" s="34">
        <v>3</v>
      </c>
      <c r="W23" s="37">
        <v>881368627.07145596</v>
      </c>
      <c r="X23" s="34">
        <v>3</v>
      </c>
      <c r="Y23" s="34">
        <f t="shared" si="2"/>
        <v>14</v>
      </c>
      <c r="Z23" s="36">
        <v>17</v>
      </c>
    </row>
    <row r="24" spans="1:26" ht="14.25" customHeight="1">
      <c r="A24" s="33">
        <v>202302</v>
      </c>
      <c r="B24" s="34" t="s">
        <v>86</v>
      </c>
      <c r="C24" s="34" t="s">
        <v>8</v>
      </c>
      <c r="D24" s="34" t="s">
        <v>100</v>
      </c>
      <c r="E24" s="35">
        <f t="shared" si="0"/>
        <v>104</v>
      </c>
      <c r="F24" s="36">
        <v>22</v>
      </c>
      <c r="G24" s="37">
        <v>2141613157</v>
      </c>
      <c r="H24" s="34">
        <v>6</v>
      </c>
      <c r="I24" s="34">
        <v>61</v>
      </c>
      <c r="J24" s="34">
        <v>38</v>
      </c>
      <c r="K24" s="34">
        <v>1.0569354838709599</v>
      </c>
      <c r="L24" s="34">
        <v>3</v>
      </c>
      <c r="M24" s="34">
        <v>14.539274531643199</v>
      </c>
      <c r="N24" s="34">
        <v>33</v>
      </c>
      <c r="O24" s="34">
        <f t="shared" si="1"/>
        <v>80</v>
      </c>
      <c r="P24" s="36">
        <v>20</v>
      </c>
      <c r="Q24" s="34">
        <v>22.691978636807502</v>
      </c>
      <c r="R24" s="34">
        <v>6</v>
      </c>
      <c r="S24" s="34">
        <v>1.0266575271221601</v>
      </c>
      <c r="T24" s="34">
        <v>6</v>
      </c>
      <c r="U24" s="34">
        <v>4.6476287723616903</v>
      </c>
      <c r="V24" s="34">
        <v>6</v>
      </c>
      <c r="W24" s="37">
        <v>63801759.953966498</v>
      </c>
      <c r="X24" s="34">
        <v>6</v>
      </c>
      <c r="Y24" s="34">
        <f t="shared" si="2"/>
        <v>24</v>
      </c>
      <c r="Z24" s="36">
        <v>52</v>
      </c>
    </row>
    <row r="25" spans="1:26" ht="14.25" customHeight="1">
      <c r="A25" s="33">
        <v>202302</v>
      </c>
      <c r="B25" s="34" t="s">
        <v>86</v>
      </c>
      <c r="C25" s="34" t="s">
        <v>8</v>
      </c>
      <c r="D25" s="34" t="s">
        <v>101</v>
      </c>
      <c r="E25" s="35">
        <f t="shared" si="0"/>
        <v>105</v>
      </c>
      <c r="F25" s="36">
        <v>23</v>
      </c>
      <c r="G25" s="37">
        <v>1455274978</v>
      </c>
      <c r="H25" s="34">
        <v>16</v>
      </c>
      <c r="I25" s="34">
        <v>75</v>
      </c>
      <c r="J25" s="34">
        <v>30</v>
      </c>
      <c r="K25" s="34">
        <v>1.88333333333333</v>
      </c>
      <c r="L25" s="34">
        <v>2</v>
      </c>
      <c r="M25" s="34">
        <v>14.539274531643199</v>
      </c>
      <c r="N25" s="34">
        <v>33</v>
      </c>
      <c r="O25" s="34">
        <f t="shared" si="1"/>
        <v>81</v>
      </c>
      <c r="P25" s="36">
        <v>21</v>
      </c>
      <c r="Q25" s="34">
        <v>22.691978636807502</v>
      </c>
      <c r="R25" s="34">
        <v>6</v>
      </c>
      <c r="S25" s="34">
        <v>1.0266575271221601</v>
      </c>
      <c r="T25" s="34">
        <v>6</v>
      </c>
      <c r="U25" s="34">
        <v>4.6476287723616903</v>
      </c>
      <c r="V25" s="34">
        <v>6</v>
      </c>
      <c r="W25" s="37">
        <v>63801759.953966498</v>
      </c>
      <c r="X25" s="34">
        <v>6</v>
      </c>
      <c r="Y25" s="34">
        <f t="shared" si="2"/>
        <v>24</v>
      </c>
      <c r="Z25" s="36">
        <v>52</v>
      </c>
    </row>
    <row r="26" spans="1:26" ht="14.25" customHeight="1">
      <c r="A26" s="33">
        <v>202302</v>
      </c>
      <c r="B26" s="34" t="s">
        <v>86</v>
      </c>
      <c r="C26" s="34" t="s">
        <v>8</v>
      </c>
      <c r="D26" s="34" t="s">
        <v>102</v>
      </c>
      <c r="E26" s="35">
        <f t="shared" si="0"/>
        <v>110</v>
      </c>
      <c r="F26" s="36">
        <v>24</v>
      </c>
      <c r="G26" s="37">
        <v>1353769674.5</v>
      </c>
      <c r="H26" s="34">
        <v>18</v>
      </c>
      <c r="I26" s="34">
        <v>125.5</v>
      </c>
      <c r="J26" s="34">
        <v>12</v>
      </c>
      <c r="K26" s="34">
        <v>0.42047041987983902</v>
      </c>
      <c r="L26" s="34">
        <v>23</v>
      </c>
      <c r="M26" s="34">
        <v>14.539274531643199</v>
      </c>
      <c r="N26" s="34">
        <v>33</v>
      </c>
      <c r="O26" s="34">
        <f t="shared" si="1"/>
        <v>86</v>
      </c>
      <c r="P26" s="36">
        <v>23</v>
      </c>
      <c r="Q26" s="34">
        <v>22.691978636807502</v>
      </c>
      <c r="R26" s="34">
        <v>6</v>
      </c>
      <c r="S26" s="34">
        <v>1.0266575271221601</v>
      </c>
      <c r="T26" s="34">
        <v>6</v>
      </c>
      <c r="U26" s="34">
        <v>4.6476287723616903</v>
      </c>
      <c r="V26" s="34">
        <v>6</v>
      </c>
      <c r="W26" s="37">
        <v>63801759.953966498</v>
      </c>
      <c r="X26" s="34">
        <v>6</v>
      </c>
      <c r="Y26" s="34">
        <f t="shared" si="2"/>
        <v>24</v>
      </c>
      <c r="Z26" s="36">
        <v>52</v>
      </c>
    </row>
    <row r="27" spans="1:26" ht="14.25" customHeight="1">
      <c r="A27" s="33">
        <v>202302</v>
      </c>
      <c r="B27" s="34" t="s">
        <v>74</v>
      </c>
      <c r="C27" s="34" t="s">
        <v>75</v>
      </c>
      <c r="D27" s="34" t="s">
        <v>103</v>
      </c>
      <c r="E27" s="35">
        <f t="shared" si="0"/>
        <v>117</v>
      </c>
      <c r="F27" s="36">
        <v>25</v>
      </c>
      <c r="G27" s="33">
        <v>1103249944.5</v>
      </c>
      <c r="H27" s="34">
        <v>26</v>
      </c>
      <c r="I27" s="34">
        <v>91.5</v>
      </c>
      <c r="J27" s="34">
        <v>17</v>
      </c>
      <c r="K27" s="34">
        <v>0.27025032092426099</v>
      </c>
      <c r="L27" s="34">
        <v>54</v>
      </c>
      <c r="M27" s="34">
        <v>12.8250795282705</v>
      </c>
      <c r="N27" s="34">
        <v>6</v>
      </c>
      <c r="O27" s="34">
        <f t="shared" si="1"/>
        <v>103</v>
      </c>
      <c r="P27" s="36">
        <v>25</v>
      </c>
      <c r="Q27" s="34">
        <v>20.1031998535003</v>
      </c>
      <c r="R27" s="34">
        <v>4</v>
      </c>
      <c r="S27" s="34">
        <v>18.848203888380699</v>
      </c>
      <c r="T27" s="34">
        <v>4</v>
      </c>
      <c r="U27" s="34">
        <v>101.816958696471</v>
      </c>
      <c r="V27" s="34">
        <v>3</v>
      </c>
      <c r="W27" s="37">
        <v>881368627.07145596</v>
      </c>
      <c r="X27" s="34">
        <v>3</v>
      </c>
      <c r="Y27" s="34">
        <f t="shared" si="2"/>
        <v>14</v>
      </c>
      <c r="Z27" s="36">
        <v>17</v>
      </c>
    </row>
    <row r="28" spans="1:26" ht="14.25" customHeight="1">
      <c r="A28" s="33">
        <v>202302</v>
      </c>
      <c r="B28" s="34" t="s">
        <v>104</v>
      </c>
      <c r="C28" s="34" t="s">
        <v>12</v>
      </c>
      <c r="D28" s="34" t="s">
        <v>105</v>
      </c>
      <c r="E28" s="35">
        <f t="shared" si="0"/>
        <v>129</v>
      </c>
      <c r="F28" s="36">
        <v>26</v>
      </c>
      <c r="G28" s="33">
        <v>1227024080</v>
      </c>
      <c r="H28" s="34">
        <v>22</v>
      </c>
      <c r="I28" s="34">
        <v>101.5</v>
      </c>
      <c r="J28" s="34">
        <v>15</v>
      </c>
      <c r="K28" s="34">
        <v>0.43388487208008902</v>
      </c>
      <c r="L28" s="34">
        <v>21</v>
      </c>
      <c r="M28" s="34">
        <v>20.0707346019657</v>
      </c>
      <c r="N28" s="34">
        <v>64</v>
      </c>
      <c r="O28" s="34">
        <f t="shared" si="1"/>
        <v>122</v>
      </c>
      <c r="P28" s="36">
        <v>29</v>
      </c>
      <c r="Q28" s="34">
        <v>14.826835892875501</v>
      </c>
      <c r="R28" s="34">
        <v>2</v>
      </c>
      <c r="S28" s="34">
        <v>23.946933719289401</v>
      </c>
      <c r="T28" s="34">
        <v>2</v>
      </c>
      <c r="U28" s="34">
        <v>131.50578000658601</v>
      </c>
      <c r="V28" s="34">
        <v>2</v>
      </c>
      <c r="W28" s="37">
        <v>5922871005.86201</v>
      </c>
      <c r="X28" s="34">
        <v>1</v>
      </c>
      <c r="Y28" s="34">
        <f t="shared" si="2"/>
        <v>7</v>
      </c>
      <c r="Z28" s="36">
        <v>6</v>
      </c>
    </row>
    <row r="29" spans="1:26" ht="14.25" customHeight="1">
      <c r="A29" s="33">
        <v>202302</v>
      </c>
      <c r="B29" s="34" t="s">
        <v>74</v>
      </c>
      <c r="C29" s="34" t="s">
        <v>75</v>
      </c>
      <c r="D29" s="34" t="s">
        <v>106</v>
      </c>
      <c r="E29" s="35">
        <f t="shared" si="0"/>
        <v>129</v>
      </c>
      <c r="F29" s="36">
        <v>27</v>
      </c>
      <c r="G29" s="33">
        <v>930583512</v>
      </c>
      <c r="H29" s="34">
        <v>34</v>
      </c>
      <c r="I29" s="34">
        <v>81</v>
      </c>
      <c r="J29" s="34">
        <v>24</v>
      </c>
      <c r="K29" s="34">
        <v>0.28467908902691502</v>
      </c>
      <c r="L29" s="34">
        <v>51</v>
      </c>
      <c r="M29" s="34">
        <v>12.8250795282705</v>
      </c>
      <c r="N29" s="34">
        <v>6</v>
      </c>
      <c r="O29" s="34">
        <f t="shared" si="1"/>
        <v>115</v>
      </c>
      <c r="P29" s="36">
        <v>26</v>
      </c>
      <c r="Q29" s="34">
        <v>20.1031998535003</v>
      </c>
      <c r="R29" s="34">
        <v>4</v>
      </c>
      <c r="S29" s="34">
        <v>18.848203888380699</v>
      </c>
      <c r="T29" s="34">
        <v>4</v>
      </c>
      <c r="U29" s="34">
        <v>101.816958696471</v>
      </c>
      <c r="V29" s="34">
        <v>3</v>
      </c>
      <c r="W29" s="37">
        <v>881368627.07145596</v>
      </c>
      <c r="X29" s="34">
        <v>3</v>
      </c>
      <c r="Y29" s="34">
        <f t="shared" si="2"/>
        <v>14</v>
      </c>
      <c r="Z29" s="36">
        <v>17</v>
      </c>
    </row>
    <row r="30" spans="1:26" ht="14.25" customHeight="1">
      <c r="A30" s="33">
        <v>202302</v>
      </c>
      <c r="B30" s="34" t="s">
        <v>81</v>
      </c>
      <c r="C30" s="34" t="s">
        <v>10</v>
      </c>
      <c r="D30" s="34" t="s">
        <v>107</v>
      </c>
      <c r="E30" s="35">
        <f t="shared" si="0"/>
        <v>134</v>
      </c>
      <c r="F30" s="36">
        <v>28</v>
      </c>
      <c r="G30" s="37">
        <v>602262276</v>
      </c>
      <c r="H30" s="34">
        <v>47</v>
      </c>
      <c r="I30" s="34">
        <v>68.5</v>
      </c>
      <c r="J30" s="34">
        <v>35</v>
      </c>
      <c r="K30" s="34">
        <v>0.57016197783461198</v>
      </c>
      <c r="L30" s="34">
        <v>6</v>
      </c>
      <c r="M30" s="34">
        <v>13.558481643551699</v>
      </c>
      <c r="N30" s="34">
        <v>28</v>
      </c>
      <c r="O30" s="34">
        <f t="shared" si="1"/>
        <v>116</v>
      </c>
      <c r="P30" s="36">
        <v>27</v>
      </c>
      <c r="Q30" s="34">
        <v>27.270304931443299</v>
      </c>
      <c r="R30" s="34">
        <v>7</v>
      </c>
      <c r="S30" s="34">
        <v>19.9744385272665</v>
      </c>
      <c r="T30" s="34">
        <v>3</v>
      </c>
      <c r="U30" s="34">
        <v>84.289473302445003</v>
      </c>
      <c r="V30" s="34">
        <v>4</v>
      </c>
      <c r="W30" s="37">
        <v>841835788.15154099</v>
      </c>
      <c r="X30" s="34">
        <v>4</v>
      </c>
      <c r="Y30" s="34">
        <f t="shared" si="2"/>
        <v>18</v>
      </c>
      <c r="Z30" s="36">
        <v>39</v>
      </c>
    </row>
    <row r="31" spans="1:26" ht="14.25" customHeight="1">
      <c r="A31" s="33">
        <v>202302</v>
      </c>
      <c r="B31" s="34" t="s">
        <v>104</v>
      </c>
      <c r="C31" s="34" t="s">
        <v>12</v>
      </c>
      <c r="D31" s="34" t="s">
        <v>108</v>
      </c>
      <c r="E31" s="35">
        <f t="shared" si="0"/>
        <v>138</v>
      </c>
      <c r="F31" s="36">
        <v>29</v>
      </c>
      <c r="G31" s="37">
        <v>999661767.5</v>
      </c>
      <c r="H31" s="34">
        <v>31</v>
      </c>
      <c r="I31" s="34">
        <v>90.5</v>
      </c>
      <c r="J31" s="34">
        <v>19</v>
      </c>
      <c r="K31" s="34">
        <v>0.45320150659133701</v>
      </c>
      <c r="L31" s="34">
        <v>17</v>
      </c>
      <c r="M31" s="34">
        <v>20.0707346019657</v>
      </c>
      <c r="N31" s="34">
        <v>64</v>
      </c>
      <c r="O31" s="34">
        <f t="shared" si="1"/>
        <v>131</v>
      </c>
      <c r="P31" s="36">
        <v>32</v>
      </c>
      <c r="Q31" s="34">
        <v>14.826835892875501</v>
      </c>
      <c r="R31" s="34">
        <v>2</v>
      </c>
      <c r="S31" s="34">
        <v>23.946933719289401</v>
      </c>
      <c r="T31" s="34">
        <v>2</v>
      </c>
      <c r="U31" s="34">
        <v>131.50578000658601</v>
      </c>
      <c r="V31" s="34">
        <v>2</v>
      </c>
      <c r="W31" s="37">
        <v>5922871005.86201</v>
      </c>
      <c r="X31" s="34">
        <v>1</v>
      </c>
      <c r="Y31" s="34">
        <f t="shared" si="2"/>
        <v>7</v>
      </c>
      <c r="Z31" s="36">
        <v>6</v>
      </c>
    </row>
    <row r="32" spans="1:26" ht="14.25" customHeight="1">
      <c r="A32" s="33">
        <v>202302</v>
      </c>
      <c r="B32" s="34" t="s">
        <v>86</v>
      </c>
      <c r="C32" s="34" t="s">
        <v>8</v>
      </c>
      <c r="D32" s="34" t="s">
        <v>109</v>
      </c>
      <c r="E32" s="35">
        <f t="shared" si="0"/>
        <v>143</v>
      </c>
      <c r="F32" s="36">
        <v>30</v>
      </c>
      <c r="G32" s="33">
        <v>2182875230.5</v>
      </c>
      <c r="H32" s="34">
        <v>5</v>
      </c>
      <c r="I32" s="34">
        <v>77</v>
      </c>
      <c r="J32" s="34">
        <v>29</v>
      </c>
      <c r="K32" s="34">
        <v>0.281403405207232</v>
      </c>
      <c r="L32" s="34">
        <v>52</v>
      </c>
      <c r="M32" s="34">
        <v>14.539274531643199</v>
      </c>
      <c r="N32" s="34">
        <v>33</v>
      </c>
      <c r="O32" s="34">
        <f t="shared" si="1"/>
        <v>119</v>
      </c>
      <c r="P32" s="36">
        <v>28</v>
      </c>
      <c r="Q32" s="34">
        <v>22.691978636807502</v>
      </c>
      <c r="R32" s="34">
        <v>6</v>
      </c>
      <c r="S32" s="34">
        <v>1.0266575271221601</v>
      </c>
      <c r="T32" s="34">
        <v>6</v>
      </c>
      <c r="U32" s="34">
        <v>4.6476287723616903</v>
      </c>
      <c r="V32" s="34">
        <v>6</v>
      </c>
      <c r="W32" s="37">
        <v>63801759.953966498</v>
      </c>
      <c r="X32" s="34">
        <v>6</v>
      </c>
      <c r="Y32" s="34">
        <f t="shared" si="2"/>
        <v>24</v>
      </c>
      <c r="Z32" s="36">
        <v>52</v>
      </c>
    </row>
    <row r="33" spans="1:26" s="124" customFormat="1" ht="14.25" customHeight="1">
      <c r="A33" s="120">
        <v>202302</v>
      </c>
      <c r="B33" s="119" t="s">
        <v>110</v>
      </c>
      <c r="C33" s="119" t="s">
        <v>7</v>
      </c>
      <c r="D33" s="119" t="s">
        <v>111</v>
      </c>
      <c r="E33" s="121">
        <f t="shared" si="0"/>
        <v>147</v>
      </c>
      <c r="F33" s="122">
        <v>31</v>
      </c>
      <c r="G33" s="123">
        <v>1122268842</v>
      </c>
      <c r="H33" s="119">
        <v>25</v>
      </c>
      <c r="I33" s="119">
        <v>71.5</v>
      </c>
      <c r="J33" s="119">
        <v>33</v>
      </c>
      <c r="K33" s="119">
        <v>0.459446663098522</v>
      </c>
      <c r="L33" s="119">
        <v>15</v>
      </c>
      <c r="M33" s="119">
        <v>17.733002681756499</v>
      </c>
      <c r="N33" s="119">
        <v>56</v>
      </c>
      <c r="O33" s="119">
        <f t="shared" si="1"/>
        <v>129</v>
      </c>
      <c r="P33" s="122">
        <v>31</v>
      </c>
      <c r="Q33" s="119">
        <v>18.180746821652001</v>
      </c>
      <c r="R33" s="119">
        <v>3</v>
      </c>
      <c r="S33" s="119">
        <v>8.0310697713016701</v>
      </c>
      <c r="T33" s="119">
        <v>5</v>
      </c>
      <c r="U33" s="119">
        <v>40.915725083879003</v>
      </c>
      <c r="V33" s="119">
        <v>5</v>
      </c>
      <c r="W33" s="123">
        <v>780910798.99566698</v>
      </c>
      <c r="X33" s="119">
        <v>5</v>
      </c>
      <c r="Y33" s="119">
        <f t="shared" si="2"/>
        <v>18</v>
      </c>
      <c r="Z33" s="122">
        <v>39</v>
      </c>
    </row>
    <row r="34" spans="1:26" ht="14.25" customHeight="1">
      <c r="A34" s="33">
        <v>202302</v>
      </c>
      <c r="B34" s="34" t="s">
        <v>112</v>
      </c>
      <c r="C34" s="34" t="s">
        <v>13</v>
      </c>
      <c r="D34" s="34" t="s">
        <v>113</v>
      </c>
      <c r="E34" s="35">
        <f t="shared" si="0"/>
        <v>149</v>
      </c>
      <c r="F34" s="36">
        <v>32</v>
      </c>
      <c r="G34" s="37">
        <v>1092993812.75</v>
      </c>
      <c r="H34" s="34">
        <v>27</v>
      </c>
      <c r="I34" s="34">
        <v>78.5</v>
      </c>
      <c r="J34" s="34">
        <v>27</v>
      </c>
      <c r="K34" s="34">
        <v>0.38609904015103402</v>
      </c>
      <c r="L34" s="34">
        <v>29</v>
      </c>
      <c r="M34" s="34">
        <v>17.629903890660199</v>
      </c>
      <c r="N34" s="34">
        <v>40</v>
      </c>
      <c r="O34" s="34">
        <f t="shared" si="1"/>
        <v>123</v>
      </c>
      <c r="P34" s="36">
        <v>30</v>
      </c>
      <c r="Q34" s="34">
        <v>20.827378242122698</v>
      </c>
      <c r="R34" s="34">
        <v>5</v>
      </c>
      <c r="S34" s="34">
        <v>-17.952298029486599</v>
      </c>
      <c r="T34" s="34">
        <v>7</v>
      </c>
      <c r="U34" s="34">
        <v>-85.102804255809005</v>
      </c>
      <c r="V34" s="34">
        <v>7</v>
      </c>
      <c r="W34" s="37">
        <v>-1284530607.0597401</v>
      </c>
      <c r="X34" s="34">
        <v>7</v>
      </c>
      <c r="Y34" s="34">
        <f t="shared" si="2"/>
        <v>26</v>
      </c>
      <c r="Z34" s="36">
        <v>59</v>
      </c>
    </row>
    <row r="35" spans="1:26" ht="14.25" customHeight="1">
      <c r="A35" s="33">
        <v>202302</v>
      </c>
      <c r="B35" s="34" t="s">
        <v>104</v>
      </c>
      <c r="C35" s="34" t="s">
        <v>12</v>
      </c>
      <c r="D35" s="34" t="s">
        <v>114</v>
      </c>
      <c r="E35" s="35">
        <f t="shared" si="0"/>
        <v>156</v>
      </c>
      <c r="F35" s="36">
        <v>33</v>
      </c>
      <c r="G35" s="37">
        <v>846827178.5</v>
      </c>
      <c r="H35" s="34">
        <v>37</v>
      </c>
      <c r="I35" s="34">
        <v>68.5</v>
      </c>
      <c r="J35" s="34">
        <v>35</v>
      </c>
      <c r="K35" s="34">
        <v>0.46184789440603302</v>
      </c>
      <c r="L35" s="34">
        <v>13</v>
      </c>
      <c r="M35" s="34">
        <v>20.0707346019657</v>
      </c>
      <c r="N35" s="34">
        <v>64</v>
      </c>
      <c r="O35" s="34">
        <f t="shared" si="1"/>
        <v>149</v>
      </c>
      <c r="P35" s="36">
        <v>34</v>
      </c>
      <c r="Q35" s="34">
        <v>14.826835892875501</v>
      </c>
      <c r="R35" s="34">
        <v>2</v>
      </c>
      <c r="S35" s="34">
        <v>23.946933719289401</v>
      </c>
      <c r="T35" s="34">
        <v>2</v>
      </c>
      <c r="U35" s="34">
        <v>131.50578000658601</v>
      </c>
      <c r="V35" s="34">
        <v>2</v>
      </c>
      <c r="W35" s="37">
        <v>5922871005.86201</v>
      </c>
      <c r="X35" s="34">
        <v>1</v>
      </c>
      <c r="Y35" s="34">
        <f t="shared" si="2"/>
        <v>7</v>
      </c>
      <c r="Z35" s="36">
        <v>6</v>
      </c>
    </row>
    <row r="36" spans="1:26" ht="14.25" customHeight="1">
      <c r="A36" s="33">
        <v>202302</v>
      </c>
      <c r="B36" s="34" t="s">
        <v>104</v>
      </c>
      <c r="C36" s="34" t="s">
        <v>12</v>
      </c>
      <c r="D36" s="34" t="s">
        <v>115</v>
      </c>
      <c r="E36" s="35">
        <f t="shared" si="0"/>
        <v>160</v>
      </c>
      <c r="F36" s="36">
        <v>34</v>
      </c>
      <c r="G36" s="33">
        <v>1300015309</v>
      </c>
      <c r="H36" s="34">
        <v>20</v>
      </c>
      <c r="I36" s="34">
        <v>80</v>
      </c>
      <c r="J36" s="34">
        <v>26</v>
      </c>
      <c r="K36" s="34">
        <v>0.31496255291435998</v>
      </c>
      <c r="L36" s="34">
        <v>43</v>
      </c>
      <c r="M36" s="34">
        <v>20.0707346019657</v>
      </c>
      <c r="N36" s="34">
        <v>64</v>
      </c>
      <c r="O36" s="34">
        <f t="shared" si="1"/>
        <v>153</v>
      </c>
      <c r="P36" s="36">
        <v>35</v>
      </c>
      <c r="Q36" s="34">
        <v>14.826835892875501</v>
      </c>
      <c r="R36" s="34">
        <v>2</v>
      </c>
      <c r="S36" s="34">
        <v>23.946933719289401</v>
      </c>
      <c r="T36" s="34">
        <v>2</v>
      </c>
      <c r="U36" s="34">
        <v>131.50578000658601</v>
      </c>
      <c r="V36" s="34">
        <v>2</v>
      </c>
      <c r="W36" s="37">
        <v>5922871005.86201</v>
      </c>
      <c r="X36" s="34">
        <v>1</v>
      </c>
      <c r="Y36" s="34">
        <f t="shared" si="2"/>
        <v>7</v>
      </c>
      <c r="Z36" s="36">
        <v>6</v>
      </c>
    </row>
    <row r="37" spans="1:26" ht="14.25" customHeight="1">
      <c r="A37" s="33">
        <v>202302</v>
      </c>
      <c r="B37" s="34" t="s">
        <v>74</v>
      </c>
      <c r="C37" s="34" t="s">
        <v>75</v>
      </c>
      <c r="D37" s="34" t="s">
        <v>116</v>
      </c>
      <c r="E37" s="35">
        <f t="shared" si="0"/>
        <v>162</v>
      </c>
      <c r="F37" s="36">
        <v>35</v>
      </c>
      <c r="G37" s="37">
        <v>462040406.5</v>
      </c>
      <c r="H37" s="34">
        <v>56</v>
      </c>
      <c r="I37" s="34">
        <v>31.5</v>
      </c>
      <c r="J37" s="34">
        <v>60</v>
      </c>
      <c r="K37" s="34">
        <v>0.39647435897435801</v>
      </c>
      <c r="L37" s="34">
        <v>26</v>
      </c>
      <c r="M37" s="34">
        <v>12.8250795282705</v>
      </c>
      <c r="N37" s="34">
        <v>6</v>
      </c>
      <c r="O37" s="34">
        <f t="shared" si="1"/>
        <v>148</v>
      </c>
      <c r="P37" s="36">
        <v>33</v>
      </c>
      <c r="Q37" s="34">
        <v>20.1031998535003</v>
      </c>
      <c r="R37" s="34">
        <v>4</v>
      </c>
      <c r="S37" s="34">
        <v>18.848203888380699</v>
      </c>
      <c r="T37" s="34">
        <v>4</v>
      </c>
      <c r="U37" s="34">
        <v>101.816958696471</v>
      </c>
      <c r="V37" s="34">
        <v>3</v>
      </c>
      <c r="W37" s="37">
        <v>881368627.07145596</v>
      </c>
      <c r="X37" s="34">
        <v>3</v>
      </c>
      <c r="Y37" s="34">
        <f t="shared" si="2"/>
        <v>14</v>
      </c>
      <c r="Z37" s="36">
        <v>17</v>
      </c>
    </row>
    <row r="38" spans="1:26" ht="14.25" customHeight="1">
      <c r="A38" s="33">
        <v>202302</v>
      </c>
      <c r="B38" s="34" t="s">
        <v>104</v>
      </c>
      <c r="C38" s="34" t="s">
        <v>12</v>
      </c>
      <c r="D38" s="34" t="s">
        <v>117</v>
      </c>
      <c r="E38" s="35">
        <f t="shared" si="0"/>
        <v>167</v>
      </c>
      <c r="F38" s="36">
        <v>36</v>
      </c>
      <c r="G38" s="37">
        <v>1070498285</v>
      </c>
      <c r="H38" s="34">
        <v>29</v>
      </c>
      <c r="I38" s="34">
        <v>75</v>
      </c>
      <c r="J38" s="34">
        <v>30</v>
      </c>
      <c r="K38" s="34">
        <v>0.34095204346798902</v>
      </c>
      <c r="L38" s="34">
        <v>37</v>
      </c>
      <c r="M38" s="34">
        <v>20.0707346019657</v>
      </c>
      <c r="N38" s="34">
        <v>64</v>
      </c>
      <c r="O38" s="34">
        <f t="shared" si="1"/>
        <v>160</v>
      </c>
      <c r="P38" s="36">
        <v>37</v>
      </c>
      <c r="Q38" s="34">
        <v>14.826835892875501</v>
      </c>
      <c r="R38" s="34">
        <v>2</v>
      </c>
      <c r="S38" s="34">
        <v>23.946933719289401</v>
      </c>
      <c r="T38" s="34">
        <v>2</v>
      </c>
      <c r="U38" s="34">
        <v>131.50578000658601</v>
      </c>
      <c r="V38" s="34">
        <v>2</v>
      </c>
      <c r="W38" s="37">
        <v>5922871005.86201</v>
      </c>
      <c r="X38" s="34">
        <v>1</v>
      </c>
      <c r="Y38" s="34">
        <f t="shared" si="2"/>
        <v>7</v>
      </c>
      <c r="Z38" s="36">
        <v>6</v>
      </c>
    </row>
    <row r="39" spans="1:26" ht="14.25" customHeight="1">
      <c r="A39" s="33">
        <v>202302</v>
      </c>
      <c r="B39" s="34" t="s">
        <v>74</v>
      </c>
      <c r="C39" s="34" t="s">
        <v>75</v>
      </c>
      <c r="D39" s="34" t="s">
        <v>118</v>
      </c>
      <c r="E39" s="35">
        <f t="shared" si="0"/>
        <v>170</v>
      </c>
      <c r="F39" s="36">
        <v>37</v>
      </c>
      <c r="G39" s="33">
        <v>747028124</v>
      </c>
      <c r="H39" s="34">
        <v>40</v>
      </c>
      <c r="I39" s="34">
        <v>55</v>
      </c>
      <c r="J39" s="34">
        <v>46</v>
      </c>
      <c r="K39" s="34">
        <v>0.219494704324801</v>
      </c>
      <c r="L39" s="34">
        <v>64</v>
      </c>
      <c r="M39" s="34">
        <v>12.8250795282705</v>
      </c>
      <c r="N39" s="34">
        <v>6</v>
      </c>
      <c r="O39" s="34">
        <f t="shared" si="1"/>
        <v>156</v>
      </c>
      <c r="P39" s="36">
        <v>36</v>
      </c>
      <c r="Q39" s="34">
        <v>20.1031998535003</v>
      </c>
      <c r="R39" s="34">
        <v>4</v>
      </c>
      <c r="S39" s="34">
        <v>18.848203888380699</v>
      </c>
      <c r="T39" s="34">
        <v>4</v>
      </c>
      <c r="U39" s="34">
        <v>101.816958696471</v>
      </c>
      <c r="V39" s="34">
        <v>3</v>
      </c>
      <c r="W39" s="37">
        <v>881368627.07145596</v>
      </c>
      <c r="X39" s="34">
        <v>3</v>
      </c>
      <c r="Y39" s="34">
        <f t="shared" si="2"/>
        <v>14</v>
      </c>
      <c r="Z39" s="36">
        <v>17</v>
      </c>
    </row>
    <row r="40" spans="1:26" ht="14.25" customHeight="1">
      <c r="A40" s="33">
        <v>202302</v>
      </c>
      <c r="B40" s="34" t="s">
        <v>74</v>
      </c>
      <c r="C40" s="34" t="s">
        <v>75</v>
      </c>
      <c r="D40" s="34" t="s">
        <v>119</v>
      </c>
      <c r="E40" s="35">
        <f t="shared" si="0"/>
        <v>174</v>
      </c>
      <c r="F40" s="36">
        <v>38</v>
      </c>
      <c r="G40" s="33">
        <v>589093538</v>
      </c>
      <c r="H40" s="34">
        <v>48</v>
      </c>
      <c r="I40" s="34">
        <v>51.5</v>
      </c>
      <c r="J40" s="34">
        <v>47</v>
      </c>
      <c r="K40" s="34">
        <v>0.236332943773535</v>
      </c>
      <c r="L40" s="34">
        <v>59</v>
      </c>
      <c r="M40" s="34">
        <v>12.8250795282705</v>
      </c>
      <c r="N40" s="34">
        <v>6</v>
      </c>
      <c r="O40" s="34">
        <f t="shared" si="1"/>
        <v>160</v>
      </c>
      <c r="P40" s="36">
        <v>37</v>
      </c>
      <c r="Q40" s="34">
        <v>20.1031998535003</v>
      </c>
      <c r="R40" s="34">
        <v>4</v>
      </c>
      <c r="S40" s="34">
        <v>18.848203888380699</v>
      </c>
      <c r="T40" s="34">
        <v>4</v>
      </c>
      <c r="U40" s="34">
        <v>101.816958696471</v>
      </c>
      <c r="V40" s="34">
        <v>3</v>
      </c>
      <c r="W40" s="37">
        <v>881368627.07145596</v>
      </c>
      <c r="X40" s="34">
        <v>3</v>
      </c>
      <c r="Y40" s="34">
        <f t="shared" si="2"/>
        <v>14</v>
      </c>
      <c r="Z40" s="36">
        <v>17</v>
      </c>
    </row>
    <row r="41" spans="1:26" ht="14.25" customHeight="1">
      <c r="A41" s="33">
        <v>202302</v>
      </c>
      <c r="B41" s="34" t="s">
        <v>104</v>
      </c>
      <c r="C41" s="34" t="s">
        <v>12</v>
      </c>
      <c r="D41" s="34" t="s">
        <v>120</v>
      </c>
      <c r="E41" s="35">
        <f t="shared" si="0"/>
        <v>176</v>
      </c>
      <c r="F41" s="36">
        <v>39</v>
      </c>
      <c r="G41" s="33">
        <v>878721891</v>
      </c>
      <c r="H41" s="34">
        <v>35</v>
      </c>
      <c r="I41" s="34">
        <v>73</v>
      </c>
      <c r="J41" s="34">
        <v>32</v>
      </c>
      <c r="K41" s="34">
        <v>0.337531969309462</v>
      </c>
      <c r="L41" s="34">
        <v>38</v>
      </c>
      <c r="M41" s="34">
        <v>20.0707346019657</v>
      </c>
      <c r="N41" s="34">
        <v>64</v>
      </c>
      <c r="O41" s="34">
        <f t="shared" si="1"/>
        <v>169</v>
      </c>
      <c r="P41" s="36">
        <v>41</v>
      </c>
      <c r="Q41" s="34">
        <v>14.826835892875501</v>
      </c>
      <c r="R41" s="34">
        <v>2</v>
      </c>
      <c r="S41" s="34">
        <v>23.946933719289401</v>
      </c>
      <c r="T41" s="34">
        <v>2</v>
      </c>
      <c r="U41" s="34">
        <v>131.50578000658601</v>
      </c>
      <c r="V41" s="34">
        <v>2</v>
      </c>
      <c r="W41" s="37">
        <v>5922871005.86201</v>
      </c>
      <c r="X41" s="34">
        <v>1</v>
      </c>
      <c r="Y41" s="34">
        <f t="shared" si="2"/>
        <v>7</v>
      </c>
      <c r="Z41" s="36">
        <v>6</v>
      </c>
    </row>
    <row r="42" spans="1:26" ht="14.25" customHeight="1">
      <c r="A42" s="33">
        <v>202302</v>
      </c>
      <c r="B42" s="34" t="s">
        <v>104</v>
      </c>
      <c r="C42" s="34" t="s">
        <v>12</v>
      </c>
      <c r="D42" s="34" t="s">
        <v>121</v>
      </c>
      <c r="E42" s="35">
        <f t="shared" si="0"/>
        <v>178</v>
      </c>
      <c r="F42" s="36">
        <v>40</v>
      </c>
      <c r="G42" s="33">
        <v>804309266.5</v>
      </c>
      <c r="H42" s="34">
        <v>39</v>
      </c>
      <c r="I42" s="34">
        <v>65.5</v>
      </c>
      <c r="J42" s="34">
        <v>37</v>
      </c>
      <c r="K42" s="34">
        <v>0.38144392128455801</v>
      </c>
      <c r="L42" s="34">
        <v>31</v>
      </c>
      <c r="M42" s="34">
        <v>20.0707346019657</v>
      </c>
      <c r="N42" s="34">
        <v>64</v>
      </c>
      <c r="O42" s="34">
        <f t="shared" si="1"/>
        <v>171</v>
      </c>
      <c r="P42" s="36">
        <v>43</v>
      </c>
      <c r="Q42" s="34">
        <v>14.826835892875501</v>
      </c>
      <c r="R42" s="34">
        <v>2</v>
      </c>
      <c r="S42" s="34">
        <v>23.946933719289401</v>
      </c>
      <c r="T42" s="34">
        <v>2</v>
      </c>
      <c r="U42" s="34">
        <v>131.50578000658601</v>
      </c>
      <c r="V42" s="34">
        <v>2</v>
      </c>
      <c r="W42" s="37">
        <v>5922871005.86201</v>
      </c>
      <c r="X42" s="34">
        <v>1</v>
      </c>
      <c r="Y42" s="34">
        <f t="shared" si="2"/>
        <v>7</v>
      </c>
      <c r="Z42" s="36">
        <v>6</v>
      </c>
    </row>
    <row r="43" spans="1:26" ht="14.25" customHeight="1">
      <c r="A43" s="33">
        <v>202302</v>
      </c>
      <c r="B43" s="34" t="s">
        <v>74</v>
      </c>
      <c r="C43" s="34" t="s">
        <v>75</v>
      </c>
      <c r="D43" s="34" t="s">
        <v>122</v>
      </c>
      <c r="E43" s="35">
        <f t="shared" si="0"/>
        <v>184</v>
      </c>
      <c r="F43" s="36">
        <v>41</v>
      </c>
      <c r="G43" s="37">
        <v>644414871.5</v>
      </c>
      <c r="H43" s="34">
        <v>45</v>
      </c>
      <c r="I43" s="34">
        <v>50</v>
      </c>
      <c r="J43" s="34">
        <v>49</v>
      </c>
      <c r="K43" s="34">
        <v>0.17949377397715299</v>
      </c>
      <c r="L43" s="34">
        <v>70</v>
      </c>
      <c r="M43" s="34">
        <v>12.8250795282705</v>
      </c>
      <c r="N43" s="34">
        <v>6</v>
      </c>
      <c r="O43" s="34">
        <f t="shared" si="1"/>
        <v>170</v>
      </c>
      <c r="P43" s="36">
        <v>42</v>
      </c>
      <c r="Q43" s="34">
        <v>20.1031998535003</v>
      </c>
      <c r="R43" s="34">
        <v>4</v>
      </c>
      <c r="S43" s="34">
        <v>18.848203888380699</v>
      </c>
      <c r="T43" s="34">
        <v>4</v>
      </c>
      <c r="U43" s="34">
        <v>101.816958696471</v>
      </c>
      <c r="V43" s="34">
        <v>3</v>
      </c>
      <c r="W43" s="37">
        <v>881368627.07145596</v>
      </c>
      <c r="X43" s="34">
        <v>3</v>
      </c>
      <c r="Y43" s="34">
        <f t="shared" si="2"/>
        <v>14</v>
      </c>
      <c r="Z43" s="36">
        <v>17</v>
      </c>
    </row>
    <row r="44" spans="1:26" ht="14.25" customHeight="1">
      <c r="A44" s="33">
        <v>202302</v>
      </c>
      <c r="B44" s="34" t="s">
        <v>112</v>
      </c>
      <c r="C44" s="34" t="s">
        <v>13</v>
      </c>
      <c r="D44" s="34" t="s">
        <v>123</v>
      </c>
      <c r="E44" s="35">
        <f t="shared" si="0"/>
        <v>187</v>
      </c>
      <c r="F44" s="36">
        <v>42</v>
      </c>
      <c r="G44" s="37">
        <v>448163057.5</v>
      </c>
      <c r="H44" s="34">
        <v>57</v>
      </c>
      <c r="I44" s="34">
        <v>41</v>
      </c>
      <c r="J44" s="34">
        <v>54</v>
      </c>
      <c r="K44" s="34">
        <v>0.49981395348837199</v>
      </c>
      <c r="L44" s="34">
        <v>10</v>
      </c>
      <c r="M44" s="34">
        <v>17.629903890660199</v>
      </c>
      <c r="N44" s="34">
        <v>40</v>
      </c>
      <c r="O44" s="34">
        <f t="shared" si="1"/>
        <v>161</v>
      </c>
      <c r="P44" s="36">
        <v>39</v>
      </c>
      <c r="Q44" s="34">
        <v>20.827378242122698</v>
      </c>
      <c r="R44" s="34">
        <v>5</v>
      </c>
      <c r="S44" s="34">
        <v>-17.952298029486599</v>
      </c>
      <c r="T44" s="34">
        <v>7</v>
      </c>
      <c r="U44" s="34">
        <v>-85.102804255809005</v>
      </c>
      <c r="V44" s="34">
        <v>7</v>
      </c>
      <c r="W44" s="37">
        <v>-1284530607.0597401</v>
      </c>
      <c r="X44" s="34">
        <v>7</v>
      </c>
      <c r="Y44" s="34">
        <f t="shared" si="2"/>
        <v>26</v>
      </c>
      <c r="Z44" s="36">
        <v>59</v>
      </c>
    </row>
    <row r="45" spans="1:26" ht="14.25" customHeight="1">
      <c r="A45" s="33">
        <v>202302</v>
      </c>
      <c r="B45" s="34" t="s">
        <v>74</v>
      </c>
      <c r="C45" s="34" t="s">
        <v>75</v>
      </c>
      <c r="D45" s="34" t="s">
        <v>124</v>
      </c>
      <c r="E45" s="35">
        <f t="shared" si="0"/>
        <v>188</v>
      </c>
      <c r="F45" s="36">
        <v>43</v>
      </c>
      <c r="G45" s="33">
        <v>558047337</v>
      </c>
      <c r="H45" s="34">
        <v>50</v>
      </c>
      <c r="I45" s="34">
        <v>44.5</v>
      </c>
      <c r="J45" s="34">
        <v>52</v>
      </c>
      <c r="K45" s="34">
        <v>0.21604279576535301</v>
      </c>
      <c r="L45" s="34">
        <v>66</v>
      </c>
      <c r="M45" s="34">
        <v>12.8250795282705</v>
      </c>
      <c r="N45" s="34">
        <v>6</v>
      </c>
      <c r="O45" s="34">
        <f t="shared" si="1"/>
        <v>174</v>
      </c>
      <c r="P45" s="36">
        <v>45</v>
      </c>
      <c r="Q45" s="34">
        <v>20.1031998535003</v>
      </c>
      <c r="R45" s="34">
        <v>4</v>
      </c>
      <c r="S45" s="34">
        <v>18.848203888380699</v>
      </c>
      <c r="T45" s="34">
        <v>4</v>
      </c>
      <c r="U45" s="34">
        <v>101.816958696471</v>
      </c>
      <c r="V45" s="34">
        <v>3</v>
      </c>
      <c r="W45" s="37">
        <v>881368627.07145596</v>
      </c>
      <c r="X45" s="34">
        <v>3</v>
      </c>
      <c r="Y45" s="34">
        <f t="shared" si="2"/>
        <v>14</v>
      </c>
      <c r="Z45" s="36">
        <v>17</v>
      </c>
    </row>
    <row r="46" spans="1:26" ht="14.25" customHeight="1">
      <c r="A46" s="33">
        <v>202302</v>
      </c>
      <c r="B46" s="34" t="s">
        <v>112</v>
      </c>
      <c r="C46" s="34" t="s">
        <v>13</v>
      </c>
      <c r="D46" s="34" t="s">
        <v>125</v>
      </c>
      <c r="E46" s="35">
        <f t="shared" si="0"/>
        <v>190</v>
      </c>
      <c r="F46" s="36">
        <v>43</v>
      </c>
      <c r="G46" s="37">
        <v>956309811</v>
      </c>
      <c r="H46" s="34">
        <v>33</v>
      </c>
      <c r="I46" s="34">
        <v>57</v>
      </c>
      <c r="J46" s="34">
        <v>42</v>
      </c>
      <c r="K46" s="34">
        <v>0.29548858930302202</v>
      </c>
      <c r="L46" s="34">
        <v>49</v>
      </c>
      <c r="M46" s="34">
        <v>17.629903890660199</v>
      </c>
      <c r="N46" s="34">
        <v>40</v>
      </c>
      <c r="O46" s="34">
        <f t="shared" si="1"/>
        <v>164</v>
      </c>
      <c r="P46" s="36">
        <v>40</v>
      </c>
      <c r="Q46" s="34">
        <v>20.827378242122698</v>
      </c>
      <c r="R46" s="34">
        <v>5</v>
      </c>
      <c r="S46" s="34">
        <v>-17.952298029486599</v>
      </c>
      <c r="T46" s="34">
        <v>7</v>
      </c>
      <c r="U46" s="34">
        <v>-85.102804255809005</v>
      </c>
      <c r="V46" s="34">
        <v>7</v>
      </c>
      <c r="W46" s="37">
        <v>-1284530607.0597401</v>
      </c>
      <c r="X46" s="34">
        <v>7</v>
      </c>
      <c r="Y46" s="34">
        <f t="shared" si="2"/>
        <v>26</v>
      </c>
      <c r="Z46" s="36">
        <v>59</v>
      </c>
    </row>
    <row r="47" spans="1:26" ht="14.25" customHeight="1">
      <c r="A47" s="33">
        <v>202302</v>
      </c>
      <c r="B47" s="34" t="s">
        <v>110</v>
      </c>
      <c r="C47" s="34" t="s">
        <v>7</v>
      </c>
      <c r="D47" s="34" t="s">
        <v>126</v>
      </c>
      <c r="E47" s="35">
        <f t="shared" si="0"/>
        <v>191</v>
      </c>
      <c r="F47" s="36">
        <v>45</v>
      </c>
      <c r="G47" s="33">
        <v>876385359.5</v>
      </c>
      <c r="H47" s="34">
        <v>36</v>
      </c>
      <c r="I47" s="34">
        <v>71</v>
      </c>
      <c r="J47" s="34">
        <v>34</v>
      </c>
      <c r="K47" s="34">
        <v>0.30446521287642703</v>
      </c>
      <c r="L47" s="34">
        <v>47</v>
      </c>
      <c r="M47" s="34">
        <v>17.733002681756499</v>
      </c>
      <c r="N47" s="34">
        <v>56</v>
      </c>
      <c r="O47" s="34">
        <f t="shared" si="1"/>
        <v>173</v>
      </c>
      <c r="P47" s="36">
        <v>44</v>
      </c>
      <c r="Q47" s="34">
        <v>18.180746821652001</v>
      </c>
      <c r="R47" s="34">
        <v>3</v>
      </c>
      <c r="S47" s="34">
        <v>8.0310697713016701</v>
      </c>
      <c r="T47" s="34">
        <v>5</v>
      </c>
      <c r="U47" s="34">
        <v>40.915725083879003</v>
      </c>
      <c r="V47" s="34">
        <v>5</v>
      </c>
      <c r="W47" s="37">
        <v>780910798.99566698</v>
      </c>
      <c r="X47" s="34">
        <v>5</v>
      </c>
      <c r="Y47" s="34">
        <f t="shared" si="2"/>
        <v>18</v>
      </c>
      <c r="Z47" s="36">
        <v>39</v>
      </c>
    </row>
    <row r="48" spans="1:26" ht="14.25" customHeight="1">
      <c r="A48" s="33">
        <v>202302</v>
      </c>
      <c r="B48" s="34" t="s">
        <v>74</v>
      </c>
      <c r="C48" s="34" t="s">
        <v>75</v>
      </c>
      <c r="D48" s="34" t="s">
        <v>127</v>
      </c>
      <c r="E48" s="35">
        <f t="shared" si="0"/>
        <v>197</v>
      </c>
      <c r="F48" s="36">
        <v>46</v>
      </c>
      <c r="G48" s="37">
        <v>412300958.5</v>
      </c>
      <c r="H48" s="34">
        <v>59</v>
      </c>
      <c r="I48" s="34">
        <v>30</v>
      </c>
      <c r="J48" s="34">
        <v>62</v>
      </c>
      <c r="K48" s="34">
        <v>0.25891749379652601</v>
      </c>
      <c r="L48" s="34">
        <v>56</v>
      </c>
      <c r="M48" s="34">
        <v>12.8250795282705</v>
      </c>
      <c r="N48" s="34">
        <v>6</v>
      </c>
      <c r="O48" s="34">
        <f t="shared" si="1"/>
        <v>183</v>
      </c>
      <c r="P48" s="36">
        <v>47</v>
      </c>
      <c r="Q48" s="34">
        <v>20.1031998535003</v>
      </c>
      <c r="R48" s="34">
        <v>4</v>
      </c>
      <c r="S48" s="34">
        <v>18.848203888380699</v>
      </c>
      <c r="T48" s="34">
        <v>4</v>
      </c>
      <c r="U48" s="34">
        <v>101.816958696471</v>
      </c>
      <c r="V48" s="34">
        <v>3</v>
      </c>
      <c r="W48" s="37">
        <v>881368627.07145596</v>
      </c>
      <c r="X48" s="34">
        <v>3</v>
      </c>
      <c r="Y48" s="34">
        <f t="shared" si="2"/>
        <v>14</v>
      </c>
      <c r="Z48" s="36">
        <v>17</v>
      </c>
    </row>
    <row r="49" spans="1:26" ht="14.25" customHeight="1">
      <c r="A49" s="33">
        <v>202302</v>
      </c>
      <c r="B49" s="34" t="s">
        <v>74</v>
      </c>
      <c r="C49" s="34" t="s">
        <v>75</v>
      </c>
      <c r="D49" s="34" t="s">
        <v>128</v>
      </c>
      <c r="E49" s="35">
        <f t="shared" si="0"/>
        <v>201</v>
      </c>
      <c r="F49" s="36">
        <v>47</v>
      </c>
      <c r="G49" s="37">
        <v>493257477</v>
      </c>
      <c r="H49" s="34">
        <v>51</v>
      </c>
      <c r="I49" s="34">
        <v>34.5</v>
      </c>
      <c r="J49" s="34">
        <v>57</v>
      </c>
      <c r="K49" s="34">
        <v>0.16498219123869801</v>
      </c>
      <c r="L49" s="34">
        <v>73</v>
      </c>
      <c r="M49" s="34">
        <v>12.8250795282705</v>
      </c>
      <c r="N49" s="34">
        <v>6</v>
      </c>
      <c r="O49" s="34">
        <f t="shared" si="1"/>
        <v>187</v>
      </c>
      <c r="P49" s="36">
        <v>50</v>
      </c>
      <c r="Q49" s="34">
        <v>20.1031998535003</v>
      </c>
      <c r="R49" s="34">
        <v>4</v>
      </c>
      <c r="S49" s="34">
        <v>18.848203888380699</v>
      </c>
      <c r="T49" s="34">
        <v>4</v>
      </c>
      <c r="U49" s="34">
        <v>101.816958696471</v>
      </c>
      <c r="V49" s="34">
        <v>3</v>
      </c>
      <c r="W49" s="37">
        <v>881368627.07145596</v>
      </c>
      <c r="X49" s="34">
        <v>3</v>
      </c>
      <c r="Y49" s="34">
        <f t="shared" si="2"/>
        <v>14</v>
      </c>
      <c r="Z49" s="36">
        <v>17</v>
      </c>
    </row>
    <row r="50" spans="1:26" ht="14.25" customHeight="1">
      <c r="A50" s="33">
        <v>202302</v>
      </c>
      <c r="B50" s="34" t="s">
        <v>110</v>
      </c>
      <c r="C50" s="34" t="s">
        <v>7</v>
      </c>
      <c r="D50" s="34" t="s">
        <v>129</v>
      </c>
      <c r="E50" s="35">
        <f t="shared" si="0"/>
        <v>202</v>
      </c>
      <c r="F50" s="36">
        <v>48</v>
      </c>
      <c r="G50" s="37">
        <v>743140352.5</v>
      </c>
      <c r="H50" s="34">
        <v>41</v>
      </c>
      <c r="I50" s="34">
        <v>60</v>
      </c>
      <c r="J50" s="34">
        <v>39</v>
      </c>
      <c r="K50" s="34">
        <v>0.29808590102707699</v>
      </c>
      <c r="L50" s="34">
        <v>48</v>
      </c>
      <c r="M50" s="34">
        <v>17.733002681756499</v>
      </c>
      <c r="N50" s="34">
        <v>56</v>
      </c>
      <c r="O50" s="34">
        <f t="shared" si="1"/>
        <v>184</v>
      </c>
      <c r="P50" s="36">
        <v>49</v>
      </c>
      <c r="Q50" s="34">
        <v>18.180746821652001</v>
      </c>
      <c r="R50" s="34">
        <v>3</v>
      </c>
      <c r="S50" s="34">
        <v>8.0310697713016701</v>
      </c>
      <c r="T50" s="34">
        <v>5</v>
      </c>
      <c r="U50" s="34">
        <v>40.915725083879003</v>
      </c>
      <c r="V50" s="34">
        <v>5</v>
      </c>
      <c r="W50" s="37">
        <v>780910798.99566698</v>
      </c>
      <c r="X50" s="34">
        <v>5</v>
      </c>
      <c r="Y50" s="34">
        <f t="shared" si="2"/>
        <v>18</v>
      </c>
      <c r="Z50" s="36">
        <v>39</v>
      </c>
    </row>
    <row r="51" spans="1:26" ht="14.25" customHeight="1">
      <c r="A51" s="33">
        <v>202302</v>
      </c>
      <c r="B51" s="34" t="s">
        <v>112</v>
      </c>
      <c r="C51" s="34" t="s">
        <v>13</v>
      </c>
      <c r="D51" s="34" t="s">
        <v>130</v>
      </c>
      <c r="E51" s="35">
        <f t="shared" si="0"/>
        <v>204</v>
      </c>
      <c r="F51" s="36">
        <v>49</v>
      </c>
      <c r="G51" s="37">
        <v>409304650.5</v>
      </c>
      <c r="H51" s="34">
        <v>60</v>
      </c>
      <c r="I51" s="34">
        <v>57</v>
      </c>
      <c r="J51" s="34">
        <v>42</v>
      </c>
      <c r="K51" s="34">
        <v>0.34778911564625797</v>
      </c>
      <c r="L51" s="34">
        <v>36</v>
      </c>
      <c r="M51" s="34">
        <v>17.629903890660199</v>
      </c>
      <c r="N51" s="34">
        <v>40</v>
      </c>
      <c r="O51" s="34">
        <f t="shared" si="1"/>
        <v>178</v>
      </c>
      <c r="P51" s="36">
        <v>46</v>
      </c>
      <c r="Q51" s="34">
        <v>20.827378242122698</v>
      </c>
      <c r="R51" s="34">
        <v>5</v>
      </c>
      <c r="S51" s="34">
        <v>-17.952298029486599</v>
      </c>
      <c r="T51" s="34">
        <v>7</v>
      </c>
      <c r="U51" s="34">
        <v>-85.102804255809005</v>
      </c>
      <c r="V51" s="34">
        <v>7</v>
      </c>
      <c r="W51" s="37">
        <v>-1284530607.0597401</v>
      </c>
      <c r="X51" s="34">
        <v>7</v>
      </c>
      <c r="Y51" s="34">
        <f t="shared" si="2"/>
        <v>26</v>
      </c>
      <c r="Z51" s="36">
        <v>59</v>
      </c>
    </row>
    <row r="52" spans="1:26" ht="14.25" customHeight="1">
      <c r="A52" s="33">
        <v>202302</v>
      </c>
      <c r="B52" s="34" t="s">
        <v>110</v>
      </c>
      <c r="C52" s="34" t="s">
        <v>7</v>
      </c>
      <c r="D52" s="34" t="s">
        <v>131</v>
      </c>
      <c r="E52" s="35">
        <f t="shared" si="0"/>
        <v>205</v>
      </c>
      <c r="F52" s="36">
        <v>49</v>
      </c>
      <c r="G52" s="33">
        <v>1062018267.5</v>
      </c>
      <c r="H52" s="34">
        <v>30</v>
      </c>
      <c r="I52" s="34">
        <v>59.5</v>
      </c>
      <c r="J52" s="34">
        <v>40</v>
      </c>
      <c r="K52" s="34">
        <v>0.23100529100529099</v>
      </c>
      <c r="L52" s="34">
        <v>61</v>
      </c>
      <c r="M52" s="34">
        <v>17.733002681756499</v>
      </c>
      <c r="N52" s="34">
        <v>56</v>
      </c>
      <c r="O52" s="34">
        <f t="shared" si="1"/>
        <v>187</v>
      </c>
      <c r="P52" s="36">
        <v>50</v>
      </c>
      <c r="Q52" s="34">
        <v>18.180746821652001</v>
      </c>
      <c r="R52" s="34">
        <v>3</v>
      </c>
      <c r="S52" s="34">
        <v>8.0310697713016701</v>
      </c>
      <c r="T52" s="34">
        <v>5</v>
      </c>
      <c r="U52" s="34">
        <v>40.915725083879003</v>
      </c>
      <c r="V52" s="34">
        <v>5</v>
      </c>
      <c r="W52" s="37">
        <v>780910798.99566698</v>
      </c>
      <c r="X52" s="34">
        <v>5</v>
      </c>
      <c r="Y52" s="34">
        <f t="shared" si="2"/>
        <v>18</v>
      </c>
      <c r="Z52" s="36">
        <v>39</v>
      </c>
    </row>
    <row r="53" spans="1:26" ht="14.25" customHeight="1">
      <c r="A53" s="33">
        <v>202302</v>
      </c>
      <c r="B53" s="34" t="s">
        <v>110</v>
      </c>
      <c r="C53" s="34" t="s">
        <v>7</v>
      </c>
      <c r="D53" s="34" t="s">
        <v>132</v>
      </c>
      <c r="E53" s="35">
        <f t="shared" si="0"/>
        <v>205</v>
      </c>
      <c r="F53" s="36">
        <v>51</v>
      </c>
      <c r="G53" s="37">
        <v>689561501.5</v>
      </c>
      <c r="H53" s="34">
        <v>43</v>
      </c>
      <c r="I53" s="34">
        <v>51</v>
      </c>
      <c r="J53" s="34">
        <v>48</v>
      </c>
      <c r="K53" s="34">
        <v>0.32758742493818399</v>
      </c>
      <c r="L53" s="34">
        <v>40</v>
      </c>
      <c r="M53" s="34">
        <v>17.733002681756499</v>
      </c>
      <c r="N53" s="34">
        <v>56</v>
      </c>
      <c r="O53" s="34">
        <f t="shared" si="1"/>
        <v>187</v>
      </c>
      <c r="P53" s="36">
        <v>50</v>
      </c>
      <c r="Q53" s="34">
        <v>18.180746821652001</v>
      </c>
      <c r="R53" s="34">
        <v>3</v>
      </c>
      <c r="S53" s="34">
        <v>8.0310697713016701</v>
      </c>
      <c r="T53" s="34">
        <v>5</v>
      </c>
      <c r="U53" s="34">
        <v>40.915725083879003</v>
      </c>
      <c r="V53" s="34">
        <v>5</v>
      </c>
      <c r="W53" s="37">
        <v>780910798.99566698</v>
      </c>
      <c r="X53" s="34">
        <v>5</v>
      </c>
      <c r="Y53" s="34">
        <f t="shared" si="2"/>
        <v>18</v>
      </c>
      <c r="Z53" s="36">
        <v>39</v>
      </c>
    </row>
    <row r="54" spans="1:26" ht="14.25" customHeight="1">
      <c r="A54" s="33">
        <v>202302</v>
      </c>
      <c r="B54" s="34" t="s">
        <v>77</v>
      </c>
      <c r="C54" s="34" t="s">
        <v>11</v>
      </c>
      <c r="D54" s="34" t="s">
        <v>133</v>
      </c>
      <c r="E54" s="35">
        <f t="shared" si="0"/>
        <v>206</v>
      </c>
      <c r="F54" s="36">
        <v>52</v>
      </c>
      <c r="G54" s="33">
        <v>166932178.5</v>
      </c>
      <c r="H54" s="34">
        <v>73</v>
      </c>
      <c r="I54" s="34">
        <v>11.5</v>
      </c>
      <c r="J54" s="34">
        <v>74</v>
      </c>
      <c r="K54" s="34">
        <v>0.27831325301204801</v>
      </c>
      <c r="L54" s="34">
        <v>53</v>
      </c>
      <c r="M54" s="34">
        <v>10.681811474164499</v>
      </c>
      <c r="N54" s="34">
        <v>1</v>
      </c>
      <c r="O54" s="34">
        <f t="shared" si="1"/>
        <v>201</v>
      </c>
      <c r="P54" s="36">
        <v>58</v>
      </c>
      <c r="Q54" s="34">
        <v>14.0855931494857</v>
      </c>
      <c r="R54" s="34">
        <v>1</v>
      </c>
      <c r="S54" s="34">
        <v>29.449571190957499</v>
      </c>
      <c r="T54" s="34">
        <v>1</v>
      </c>
      <c r="U54" s="34">
        <v>181.84701120891501</v>
      </c>
      <c r="V54" s="34">
        <v>1</v>
      </c>
      <c r="W54" s="37">
        <v>3466813550.1001601</v>
      </c>
      <c r="X54" s="34">
        <v>2</v>
      </c>
      <c r="Y54" s="34">
        <f t="shared" si="2"/>
        <v>5</v>
      </c>
      <c r="Z54" s="36">
        <v>1</v>
      </c>
    </row>
    <row r="55" spans="1:26" ht="14.25" customHeight="1">
      <c r="A55" s="33">
        <v>202302</v>
      </c>
      <c r="B55" s="34" t="s">
        <v>110</v>
      </c>
      <c r="C55" s="34" t="s">
        <v>7</v>
      </c>
      <c r="D55" s="34" t="s">
        <v>134</v>
      </c>
      <c r="E55" s="35">
        <f t="shared" si="0"/>
        <v>208</v>
      </c>
      <c r="F55" s="36">
        <v>53</v>
      </c>
      <c r="G55" s="37">
        <v>820497139</v>
      </c>
      <c r="H55" s="34">
        <v>38</v>
      </c>
      <c r="I55" s="34">
        <v>58.5</v>
      </c>
      <c r="J55" s="34">
        <v>41</v>
      </c>
      <c r="K55" s="34">
        <v>0.261418269230769</v>
      </c>
      <c r="L55" s="34">
        <v>55</v>
      </c>
      <c r="M55" s="34">
        <v>17.733002681756499</v>
      </c>
      <c r="N55" s="34">
        <v>56</v>
      </c>
      <c r="O55" s="34">
        <f t="shared" si="1"/>
        <v>190</v>
      </c>
      <c r="P55" s="36">
        <v>53</v>
      </c>
      <c r="Q55" s="34">
        <v>18.180746821652001</v>
      </c>
      <c r="R55" s="34">
        <v>3</v>
      </c>
      <c r="S55" s="34">
        <v>8.0310697713016701</v>
      </c>
      <c r="T55" s="34">
        <v>5</v>
      </c>
      <c r="U55" s="34">
        <v>40.915725083879003</v>
      </c>
      <c r="V55" s="34">
        <v>5</v>
      </c>
      <c r="W55" s="37">
        <v>780910798.99566698</v>
      </c>
      <c r="X55" s="34">
        <v>5</v>
      </c>
      <c r="Y55" s="34">
        <f t="shared" si="2"/>
        <v>18</v>
      </c>
      <c r="Z55" s="36">
        <v>39</v>
      </c>
    </row>
    <row r="56" spans="1:26" ht="14.25" customHeight="1">
      <c r="A56" s="33">
        <v>202302</v>
      </c>
      <c r="B56" s="34" t="s">
        <v>112</v>
      </c>
      <c r="C56" s="34" t="s">
        <v>13</v>
      </c>
      <c r="D56" s="34" t="s">
        <v>135</v>
      </c>
      <c r="E56" s="35">
        <f t="shared" si="0"/>
        <v>209</v>
      </c>
      <c r="F56" s="36">
        <v>53</v>
      </c>
      <c r="G56" s="37">
        <v>291533754</v>
      </c>
      <c r="H56" s="34">
        <v>68</v>
      </c>
      <c r="I56" s="34">
        <v>27</v>
      </c>
      <c r="J56" s="34">
        <v>66</v>
      </c>
      <c r="K56" s="34">
        <v>0.51840898116851697</v>
      </c>
      <c r="L56" s="34">
        <v>9</v>
      </c>
      <c r="M56" s="34">
        <v>17.629903890660199</v>
      </c>
      <c r="N56" s="34">
        <v>40</v>
      </c>
      <c r="O56" s="34">
        <f t="shared" si="1"/>
        <v>183</v>
      </c>
      <c r="P56" s="36">
        <v>47</v>
      </c>
      <c r="Q56" s="34">
        <v>20.827378242122698</v>
      </c>
      <c r="R56" s="34">
        <v>5</v>
      </c>
      <c r="S56" s="34">
        <v>-17.952298029486599</v>
      </c>
      <c r="T56" s="34">
        <v>7</v>
      </c>
      <c r="U56" s="34">
        <v>-85.102804255809005</v>
      </c>
      <c r="V56" s="34">
        <v>7</v>
      </c>
      <c r="W56" s="37">
        <v>-1284530607.0597401</v>
      </c>
      <c r="X56" s="34">
        <v>7</v>
      </c>
      <c r="Y56" s="34">
        <f t="shared" si="2"/>
        <v>26</v>
      </c>
      <c r="Z56" s="36">
        <v>59</v>
      </c>
    </row>
    <row r="57" spans="1:26" ht="14.25" customHeight="1">
      <c r="A57" s="33">
        <v>202302</v>
      </c>
      <c r="B57" s="34" t="s">
        <v>74</v>
      </c>
      <c r="C57" s="34" t="s">
        <v>75</v>
      </c>
      <c r="D57" s="34" t="s">
        <v>136</v>
      </c>
      <c r="E57" s="35">
        <f t="shared" si="0"/>
        <v>209</v>
      </c>
      <c r="F57" s="36">
        <v>55</v>
      </c>
      <c r="G57" s="37">
        <v>287022602.5</v>
      </c>
      <c r="H57" s="34">
        <v>69</v>
      </c>
      <c r="I57" s="34">
        <v>22</v>
      </c>
      <c r="J57" s="34">
        <v>70</v>
      </c>
      <c r="K57" s="34">
        <v>0.28648310387984899</v>
      </c>
      <c r="L57" s="34">
        <v>50</v>
      </c>
      <c r="M57" s="34">
        <v>12.8250795282705</v>
      </c>
      <c r="N57" s="34">
        <v>6</v>
      </c>
      <c r="O57" s="34">
        <f t="shared" si="1"/>
        <v>195</v>
      </c>
      <c r="P57" s="36">
        <v>56</v>
      </c>
      <c r="Q57" s="34">
        <v>20.1031998535003</v>
      </c>
      <c r="R57" s="34">
        <v>4</v>
      </c>
      <c r="S57" s="34">
        <v>18.848203888380699</v>
      </c>
      <c r="T57" s="34">
        <v>4</v>
      </c>
      <c r="U57" s="34">
        <v>101.816958696471</v>
      </c>
      <c r="V57" s="34">
        <v>3</v>
      </c>
      <c r="W57" s="37">
        <v>881368627.07145596</v>
      </c>
      <c r="X57" s="34">
        <v>3</v>
      </c>
      <c r="Y57" s="34">
        <f t="shared" si="2"/>
        <v>14</v>
      </c>
      <c r="Z57" s="36">
        <v>17</v>
      </c>
    </row>
    <row r="58" spans="1:26" ht="14.25" customHeight="1">
      <c r="A58" s="33">
        <v>202302</v>
      </c>
      <c r="B58" s="34" t="s">
        <v>104</v>
      </c>
      <c r="C58" s="34" t="s">
        <v>12</v>
      </c>
      <c r="D58" s="34" t="s">
        <v>137</v>
      </c>
      <c r="E58" s="35">
        <f t="shared" si="0"/>
        <v>213</v>
      </c>
      <c r="F58" s="36">
        <v>56</v>
      </c>
      <c r="G58" s="33">
        <v>425683769</v>
      </c>
      <c r="H58" s="34">
        <v>58</v>
      </c>
      <c r="I58" s="34">
        <v>46.5</v>
      </c>
      <c r="J58" s="34">
        <v>50</v>
      </c>
      <c r="K58" s="34">
        <v>0.35934248855597101</v>
      </c>
      <c r="L58" s="34">
        <v>34</v>
      </c>
      <c r="M58" s="34">
        <v>20.0707346019657</v>
      </c>
      <c r="N58" s="34">
        <v>64</v>
      </c>
      <c r="O58" s="34">
        <f t="shared" si="1"/>
        <v>206</v>
      </c>
      <c r="P58" s="36">
        <v>62</v>
      </c>
      <c r="Q58" s="34">
        <v>14.826835892875501</v>
      </c>
      <c r="R58" s="34">
        <v>2</v>
      </c>
      <c r="S58" s="34">
        <v>23.946933719289401</v>
      </c>
      <c r="T58" s="34">
        <v>2</v>
      </c>
      <c r="U58" s="34">
        <v>131.50578000658601</v>
      </c>
      <c r="V58" s="34">
        <v>2</v>
      </c>
      <c r="W58" s="37">
        <v>5922871005.86201</v>
      </c>
      <c r="X58" s="34">
        <v>1</v>
      </c>
      <c r="Y58" s="34">
        <f t="shared" si="2"/>
        <v>7</v>
      </c>
      <c r="Z58" s="36">
        <v>6</v>
      </c>
    </row>
    <row r="59" spans="1:26" ht="14.25" customHeight="1">
      <c r="A59" s="33">
        <v>202302</v>
      </c>
      <c r="B59" s="34" t="s">
        <v>104</v>
      </c>
      <c r="C59" s="34" t="s">
        <v>12</v>
      </c>
      <c r="D59" s="34" t="s">
        <v>138</v>
      </c>
      <c r="E59" s="35">
        <f t="shared" si="0"/>
        <v>213</v>
      </c>
      <c r="F59" s="36">
        <v>57</v>
      </c>
      <c r="G59" s="37">
        <v>475933403.5</v>
      </c>
      <c r="H59" s="34">
        <v>54</v>
      </c>
      <c r="I59" s="34">
        <v>39</v>
      </c>
      <c r="J59" s="34">
        <v>56</v>
      </c>
      <c r="K59" s="34">
        <v>0.37429643527204498</v>
      </c>
      <c r="L59" s="34">
        <v>32</v>
      </c>
      <c r="M59" s="34">
        <v>20.0707346019657</v>
      </c>
      <c r="N59" s="34">
        <v>64</v>
      </c>
      <c r="O59" s="34">
        <f t="shared" si="1"/>
        <v>206</v>
      </c>
      <c r="P59" s="36">
        <v>62</v>
      </c>
      <c r="Q59" s="34">
        <v>14.826835892875501</v>
      </c>
      <c r="R59" s="34">
        <v>2</v>
      </c>
      <c r="S59" s="34">
        <v>23.946933719289401</v>
      </c>
      <c r="T59" s="34">
        <v>2</v>
      </c>
      <c r="U59" s="34">
        <v>131.50578000658601</v>
      </c>
      <c r="V59" s="34">
        <v>2</v>
      </c>
      <c r="W59" s="37">
        <v>5922871005.86201</v>
      </c>
      <c r="X59" s="34">
        <v>1</v>
      </c>
      <c r="Y59" s="34">
        <f t="shared" si="2"/>
        <v>7</v>
      </c>
      <c r="Z59" s="36">
        <v>6</v>
      </c>
    </row>
    <row r="60" spans="1:26" ht="14.25" customHeight="1">
      <c r="A60" s="33">
        <v>202302</v>
      </c>
      <c r="B60" s="34" t="s">
        <v>112</v>
      </c>
      <c r="C60" s="34" t="s">
        <v>13</v>
      </c>
      <c r="D60" s="34" t="s">
        <v>139</v>
      </c>
      <c r="E60" s="35">
        <f t="shared" si="0"/>
        <v>216</v>
      </c>
      <c r="F60" s="36">
        <v>58</v>
      </c>
      <c r="G60" s="37">
        <v>479748194.5</v>
      </c>
      <c r="H60" s="34">
        <v>53</v>
      </c>
      <c r="I60" s="34">
        <v>40</v>
      </c>
      <c r="J60" s="34">
        <v>55</v>
      </c>
      <c r="K60" s="34">
        <v>0.321687840290381</v>
      </c>
      <c r="L60" s="34">
        <v>42</v>
      </c>
      <c r="M60" s="34">
        <v>17.629903890660199</v>
      </c>
      <c r="N60" s="34">
        <v>40</v>
      </c>
      <c r="O60" s="34">
        <f t="shared" si="1"/>
        <v>190</v>
      </c>
      <c r="P60" s="36">
        <v>53</v>
      </c>
      <c r="Q60" s="34">
        <v>20.827378242122698</v>
      </c>
      <c r="R60" s="34">
        <v>5</v>
      </c>
      <c r="S60" s="34">
        <v>-17.952298029486599</v>
      </c>
      <c r="T60" s="34">
        <v>7</v>
      </c>
      <c r="U60" s="34">
        <v>-85.102804255809005</v>
      </c>
      <c r="V60" s="34">
        <v>7</v>
      </c>
      <c r="W60" s="37">
        <v>-1284530607.0597401</v>
      </c>
      <c r="X60" s="34">
        <v>7</v>
      </c>
      <c r="Y60" s="34">
        <f t="shared" si="2"/>
        <v>26</v>
      </c>
      <c r="Z60" s="36">
        <v>59</v>
      </c>
    </row>
    <row r="61" spans="1:26" ht="14.25" customHeight="1">
      <c r="A61" s="33">
        <v>202302</v>
      </c>
      <c r="B61" s="34" t="s">
        <v>74</v>
      </c>
      <c r="C61" s="34" t="s">
        <v>75</v>
      </c>
      <c r="D61" s="34" t="s">
        <v>140</v>
      </c>
      <c r="E61" s="35">
        <f t="shared" si="0"/>
        <v>216</v>
      </c>
      <c r="F61" s="36">
        <v>58</v>
      </c>
      <c r="G61" s="33">
        <v>269667463.5</v>
      </c>
      <c r="H61" s="34">
        <v>70</v>
      </c>
      <c r="I61" s="34">
        <v>27.5</v>
      </c>
      <c r="J61" s="34">
        <v>64</v>
      </c>
      <c r="K61" s="34">
        <v>0.22908638407193299</v>
      </c>
      <c r="L61" s="34">
        <v>62</v>
      </c>
      <c r="M61" s="34">
        <v>12.8250795282705</v>
      </c>
      <c r="N61" s="34">
        <v>6</v>
      </c>
      <c r="O61" s="34">
        <f t="shared" si="1"/>
        <v>202</v>
      </c>
      <c r="P61" s="36">
        <v>60</v>
      </c>
      <c r="Q61" s="34">
        <v>20.1031998535003</v>
      </c>
      <c r="R61" s="34">
        <v>4</v>
      </c>
      <c r="S61" s="34">
        <v>18.848203888380699</v>
      </c>
      <c r="T61" s="34">
        <v>4</v>
      </c>
      <c r="U61" s="34">
        <v>101.816958696471</v>
      </c>
      <c r="V61" s="34">
        <v>3</v>
      </c>
      <c r="W61" s="37">
        <v>881368627.07145596</v>
      </c>
      <c r="X61" s="34">
        <v>3</v>
      </c>
      <c r="Y61" s="34">
        <f t="shared" si="2"/>
        <v>14</v>
      </c>
      <c r="Z61" s="36">
        <v>17</v>
      </c>
    </row>
    <row r="62" spans="1:26" ht="14.25" customHeight="1">
      <c r="A62" s="33">
        <v>202302</v>
      </c>
      <c r="B62" s="34" t="s">
        <v>74</v>
      </c>
      <c r="C62" s="34" t="s">
        <v>75</v>
      </c>
      <c r="D62" s="34" t="s">
        <v>141</v>
      </c>
      <c r="E62" s="35">
        <f t="shared" si="0"/>
        <v>218</v>
      </c>
      <c r="F62" s="36">
        <v>60</v>
      </c>
      <c r="G62" s="33">
        <v>291570478</v>
      </c>
      <c r="H62" s="34">
        <v>67</v>
      </c>
      <c r="I62" s="34">
        <v>20</v>
      </c>
      <c r="J62" s="34">
        <v>71</v>
      </c>
      <c r="K62" s="34">
        <v>0.23265306122448901</v>
      </c>
      <c r="L62" s="34">
        <v>60</v>
      </c>
      <c r="M62" s="34">
        <v>12.8250795282705</v>
      </c>
      <c r="N62" s="34">
        <v>6</v>
      </c>
      <c r="O62" s="34">
        <f t="shared" si="1"/>
        <v>204</v>
      </c>
      <c r="P62" s="36">
        <v>61</v>
      </c>
      <c r="Q62" s="34">
        <v>20.1031998535003</v>
      </c>
      <c r="R62" s="34">
        <v>4</v>
      </c>
      <c r="S62" s="34">
        <v>18.848203888380699</v>
      </c>
      <c r="T62" s="34">
        <v>4</v>
      </c>
      <c r="U62" s="34">
        <v>101.816958696471</v>
      </c>
      <c r="V62" s="34">
        <v>3</v>
      </c>
      <c r="W62" s="37">
        <v>881368627.07145596</v>
      </c>
      <c r="X62" s="34">
        <v>3</v>
      </c>
      <c r="Y62" s="34">
        <f t="shared" si="2"/>
        <v>14</v>
      </c>
      <c r="Z62" s="36">
        <v>17</v>
      </c>
    </row>
    <row r="63" spans="1:26" ht="14.25" customHeight="1">
      <c r="A63" s="33">
        <v>202302</v>
      </c>
      <c r="B63" s="34" t="s">
        <v>110</v>
      </c>
      <c r="C63" s="34" t="s">
        <v>7</v>
      </c>
      <c r="D63" s="34" t="s">
        <v>142</v>
      </c>
      <c r="E63" s="35">
        <f t="shared" si="0"/>
        <v>219</v>
      </c>
      <c r="F63" s="36">
        <v>61</v>
      </c>
      <c r="G63" s="37">
        <v>673056448</v>
      </c>
      <c r="H63" s="34">
        <v>44</v>
      </c>
      <c r="I63" s="34">
        <v>56</v>
      </c>
      <c r="J63" s="34">
        <v>44</v>
      </c>
      <c r="K63" s="34">
        <v>0.25241890309110299</v>
      </c>
      <c r="L63" s="34">
        <v>57</v>
      </c>
      <c r="M63" s="34">
        <v>17.733002681756499</v>
      </c>
      <c r="N63" s="34">
        <v>56</v>
      </c>
      <c r="O63" s="34">
        <f t="shared" si="1"/>
        <v>201</v>
      </c>
      <c r="P63" s="36">
        <v>58</v>
      </c>
      <c r="Q63" s="34">
        <v>18.180746821652001</v>
      </c>
      <c r="R63" s="34">
        <v>3</v>
      </c>
      <c r="S63" s="34">
        <v>8.0310697713016701</v>
      </c>
      <c r="T63" s="34">
        <v>5</v>
      </c>
      <c r="U63" s="34">
        <v>40.915725083879003</v>
      </c>
      <c r="V63" s="34">
        <v>5</v>
      </c>
      <c r="W63" s="37">
        <v>780910798.99566698</v>
      </c>
      <c r="X63" s="34">
        <v>5</v>
      </c>
      <c r="Y63" s="34">
        <f t="shared" si="2"/>
        <v>18</v>
      </c>
      <c r="Z63" s="36">
        <v>39</v>
      </c>
    </row>
    <row r="64" spans="1:26" ht="14.25" customHeight="1">
      <c r="A64" s="33">
        <v>202302</v>
      </c>
      <c r="B64" s="34" t="s">
        <v>112</v>
      </c>
      <c r="C64" s="34" t="s">
        <v>13</v>
      </c>
      <c r="D64" s="34" t="s">
        <v>143</v>
      </c>
      <c r="E64" s="35">
        <f t="shared" si="0"/>
        <v>220</v>
      </c>
      <c r="F64" s="36">
        <v>61</v>
      </c>
      <c r="G64" s="33">
        <v>722739206</v>
      </c>
      <c r="H64" s="34">
        <v>42</v>
      </c>
      <c r="I64" s="34">
        <v>55.5</v>
      </c>
      <c r="J64" s="34">
        <v>45</v>
      </c>
      <c r="K64" s="34">
        <v>0.208400537634408</v>
      </c>
      <c r="L64" s="34">
        <v>67</v>
      </c>
      <c r="M64" s="34">
        <v>17.629903890660199</v>
      </c>
      <c r="N64" s="34">
        <v>40</v>
      </c>
      <c r="O64" s="34">
        <f t="shared" si="1"/>
        <v>194</v>
      </c>
      <c r="P64" s="36">
        <v>55</v>
      </c>
      <c r="Q64" s="34">
        <v>20.827378242122698</v>
      </c>
      <c r="R64" s="34">
        <v>5</v>
      </c>
      <c r="S64" s="34">
        <v>-17.952298029486599</v>
      </c>
      <c r="T64" s="34">
        <v>7</v>
      </c>
      <c r="U64" s="34">
        <v>-85.102804255809005</v>
      </c>
      <c r="V64" s="34">
        <v>7</v>
      </c>
      <c r="W64" s="37">
        <v>-1284530607.0597401</v>
      </c>
      <c r="X64" s="34">
        <v>7</v>
      </c>
      <c r="Y64" s="34">
        <f t="shared" si="2"/>
        <v>26</v>
      </c>
      <c r="Z64" s="36">
        <v>59</v>
      </c>
    </row>
    <row r="65" spans="1:26" ht="14.25" customHeight="1">
      <c r="A65" s="33">
        <v>202302</v>
      </c>
      <c r="B65" s="34" t="s">
        <v>112</v>
      </c>
      <c r="C65" s="34" t="s">
        <v>13</v>
      </c>
      <c r="D65" s="34" t="s">
        <v>144</v>
      </c>
      <c r="E65" s="35">
        <f t="shared" si="0"/>
        <v>225</v>
      </c>
      <c r="F65" s="36">
        <v>61</v>
      </c>
      <c r="G65" s="33">
        <v>397073457</v>
      </c>
      <c r="H65" s="34">
        <v>63</v>
      </c>
      <c r="I65" s="34">
        <v>46.5</v>
      </c>
      <c r="J65" s="34">
        <v>50</v>
      </c>
      <c r="K65" s="34">
        <v>0.307396149949341</v>
      </c>
      <c r="L65" s="34">
        <v>46</v>
      </c>
      <c r="M65" s="34">
        <v>17.629903890660199</v>
      </c>
      <c r="N65" s="34">
        <v>40</v>
      </c>
      <c r="O65" s="34">
        <f t="shared" si="1"/>
        <v>199</v>
      </c>
      <c r="P65" s="36">
        <v>57</v>
      </c>
      <c r="Q65" s="34">
        <v>20.827378242122698</v>
      </c>
      <c r="R65" s="34">
        <v>5</v>
      </c>
      <c r="S65" s="34">
        <v>-17.952298029486599</v>
      </c>
      <c r="T65" s="34">
        <v>7</v>
      </c>
      <c r="U65" s="34">
        <v>-85.102804255809005</v>
      </c>
      <c r="V65" s="34">
        <v>7</v>
      </c>
      <c r="W65" s="37">
        <v>-1284530607.0597401</v>
      </c>
      <c r="X65" s="34">
        <v>7</v>
      </c>
      <c r="Y65" s="34">
        <f t="shared" si="2"/>
        <v>26</v>
      </c>
      <c r="Z65" s="36">
        <v>59</v>
      </c>
    </row>
    <row r="66" spans="1:26" ht="14.25" customHeight="1">
      <c r="A66" s="33">
        <v>202302</v>
      </c>
      <c r="B66" s="34" t="s">
        <v>104</v>
      </c>
      <c r="C66" s="34" t="s">
        <v>12</v>
      </c>
      <c r="D66" s="34" t="s">
        <v>145</v>
      </c>
      <c r="E66" s="35">
        <f t="shared" si="0"/>
        <v>231</v>
      </c>
      <c r="F66" s="36">
        <v>64</v>
      </c>
      <c r="G66" s="33">
        <v>575230922</v>
      </c>
      <c r="H66" s="34">
        <v>49</v>
      </c>
      <c r="I66" s="34">
        <v>42.5</v>
      </c>
      <c r="J66" s="34">
        <v>53</v>
      </c>
      <c r="K66" s="34">
        <v>0.23936567164179101</v>
      </c>
      <c r="L66" s="34">
        <v>58</v>
      </c>
      <c r="M66" s="34">
        <v>20.0707346019657</v>
      </c>
      <c r="N66" s="34">
        <v>64</v>
      </c>
      <c r="O66" s="34">
        <f t="shared" si="1"/>
        <v>224</v>
      </c>
      <c r="P66" s="36">
        <v>68</v>
      </c>
      <c r="Q66" s="34">
        <v>14.826835892875501</v>
      </c>
      <c r="R66" s="34">
        <v>2</v>
      </c>
      <c r="S66" s="34">
        <v>23.946933719289401</v>
      </c>
      <c r="T66" s="34">
        <v>2</v>
      </c>
      <c r="U66" s="34">
        <v>131.50578000658601</v>
      </c>
      <c r="V66" s="34">
        <v>2</v>
      </c>
      <c r="W66" s="37">
        <v>5922871005.86201</v>
      </c>
      <c r="X66" s="34">
        <v>1</v>
      </c>
      <c r="Y66" s="34">
        <f t="shared" si="2"/>
        <v>7</v>
      </c>
      <c r="Z66" s="36">
        <v>6</v>
      </c>
    </row>
    <row r="67" spans="1:26" ht="14.25" customHeight="1">
      <c r="A67" s="33">
        <v>202302</v>
      </c>
      <c r="B67" s="34" t="s">
        <v>112</v>
      </c>
      <c r="C67" s="34" t="s">
        <v>13</v>
      </c>
      <c r="D67" s="34" t="s">
        <v>146</v>
      </c>
      <c r="E67" s="35">
        <f t="shared" si="0"/>
        <v>233</v>
      </c>
      <c r="F67" s="36">
        <v>65</v>
      </c>
      <c r="G67" s="37">
        <v>367611315.5</v>
      </c>
      <c r="H67" s="34">
        <v>64</v>
      </c>
      <c r="I67" s="34">
        <v>33</v>
      </c>
      <c r="J67" s="34">
        <v>58</v>
      </c>
      <c r="K67" s="34">
        <v>0.31217948717948701</v>
      </c>
      <c r="L67" s="34">
        <v>45</v>
      </c>
      <c r="M67" s="34">
        <v>17.629903890660199</v>
      </c>
      <c r="N67" s="34">
        <v>40</v>
      </c>
      <c r="O67" s="34">
        <f t="shared" si="1"/>
        <v>207</v>
      </c>
      <c r="P67" s="36">
        <v>64</v>
      </c>
      <c r="Q67" s="34">
        <v>20.827378242122698</v>
      </c>
      <c r="R67" s="34">
        <v>5</v>
      </c>
      <c r="S67" s="34">
        <v>-17.952298029486599</v>
      </c>
      <c r="T67" s="34">
        <v>7</v>
      </c>
      <c r="U67" s="34">
        <v>-85.102804255809005</v>
      </c>
      <c r="V67" s="34">
        <v>7</v>
      </c>
      <c r="W67" s="37">
        <v>-1284530607.0597401</v>
      </c>
      <c r="X67" s="34">
        <v>7</v>
      </c>
      <c r="Y67" s="34">
        <f t="shared" si="2"/>
        <v>26</v>
      </c>
      <c r="Z67" s="36">
        <v>59</v>
      </c>
    </row>
    <row r="68" spans="1:26" ht="14.25" customHeight="1">
      <c r="A68" s="33">
        <v>202302</v>
      </c>
      <c r="B68" s="34" t="s">
        <v>112</v>
      </c>
      <c r="C68" s="34" t="s">
        <v>13</v>
      </c>
      <c r="D68" s="34" t="s">
        <v>147</v>
      </c>
      <c r="E68" s="35">
        <f t="shared" si="0"/>
        <v>237</v>
      </c>
      <c r="F68" s="36">
        <v>66</v>
      </c>
      <c r="G68" s="33">
        <v>364942400</v>
      </c>
      <c r="H68" s="34">
        <v>65</v>
      </c>
      <c r="I68" s="34">
        <v>26.5</v>
      </c>
      <c r="J68" s="34">
        <v>67</v>
      </c>
      <c r="K68" s="34">
        <v>0.33276515151515101</v>
      </c>
      <c r="L68" s="34">
        <v>39</v>
      </c>
      <c r="M68" s="34">
        <v>17.629903890660199</v>
      </c>
      <c r="N68" s="34">
        <v>40</v>
      </c>
      <c r="O68" s="34">
        <f t="shared" si="1"/>
        <v>211</v>
      </c>
      <c r="P68" s="36">
        <v>65</v>
      </c>
      <c r="Q68" s="34">
        <v>20.827378242122698</v>
      </c>
      <c r="R68" s="34">
        <v>5</v>
      </c>
      <c r="S68" s="34">
        <v>-17.952298029486599</v>
      </c>
      <c r="T68" s="34">
        <v>7</v>
      </c>
      <c r="U68" s="34">
        <v>-85.102804255809005</v>
      </c>
      <c r="V68" s="34">
        <v>7</v>
      </c>
      <c r="W68" s="37">
        <v>-1284530607.0597401</v>
      </c>
      <c r="X68" s="34">
        <v>7</v>
      </c>
      <c r="Y68" s="34">
        <f t="shared" si="2"/>
        <v>26</v>
      </c>
      <c r="Z68" s="36">
        <v>59</v>
      </c>
    </row>
    <row r="69" spans="1:26" ht="14.25" customHeight="1">
      <c r="A69" s="33">
        <v>202302</v>
      </c>
      <c r="B69" s="34" t="s">
        <v>112</v>
      </c>
      <c r="C69" s="34" t="s">
        <v>13</v>
      </c>
      <c r="D69" s="34" t="s">
        <v>148</v>
      </c>
      <c r="E69" s="35">
        <f t="shared" si="0"/>
        <v>245</v>
      </c>
      <c r="F69" s="36">
        <v>67</v>
      </c>
      <c r="G69" s="37">
        <v>481958869.5</v>
      </c>
      <c r="H69" s="34">
        <v>52</v>
      </c>
      <c r="I69" s="34">
        <v>33</v>
      </c>
      <c r="J69" s="34">
        <v>58</v>
      </c>
      <c r="K69" s="34">
        <v>0.18059595733572001</v>
      </c>
      <c r="L69" s="34">
        <v>69</v>
      </c>
      <c r="M69" s="34">
        <v>17.629903890660199</v>
      </c>
      <c r="N69" s="34">
        <v>40</v>
      </c>
      <c r="O69" s="34">
        <f t="shared" si="1"/>
        <v>219</v>
      </c>
      <c r="P69" s="36">
        <v>66</v>
      </c>
      <c r="Q69" s="34">
        <v>20.827378242122698</v>
      </c>
      <c r="R69" s="34">
        <v>5</v>
      </c>
      <c r="S69" s="34">
        <v>-17.952298029486599</v>
      </c>
      <c r="T69" s="34">
        <v>7</v>
      </c>
      <c r="U69" s="34">
        <v>-85.102804255809005</v>
      </c>
      <c r="V69" s="34">
        <v>7</v>
      </c>
      <c r="W69" s="37">
        <v>-1284530607.0597401</v>
      </c>
      <c r="X69" s="34">
        <v>7</v>
      </c>
      <c r="Y69" s="34">
        <f t="shared" si="2"/>
        <v>26</v>
      </c>
      <c r="Z69" s="36">
        <v>59</v>
      </c>
    </row>
    <row r="70" spans="1:26" ht="14.25" customHeight="1">
      <c r="A70" s="33">
        <v>202302</v>
      </c>
      <c r="B70" s="34" t="s">
        <v>112</v>
      </c>
      <c r="C70" s="34" t="s">
        <v>13</v>
      </c>
      <c r="D70" s="34" t="s">
        <v>149</v>
      </c>
      <c r="E70" s="35">
        <f t="shared" si="0"/>
        <v>247</v>
      </c>
      <c r="F70" s="36">
        <v>68</v>
      </c>
      <c r="G70" s="37">
        <v>247795435.5</v>
      </c>
      <c r="H70" s="34">
        <v>71</v>
      </c>
      <c r="I70" s="34">
        <v>23</v>
      </c>
      <c r="J70" s="34">
        <v>69</v>
      </c>
      <c r="K70" s="34">
        <v>0.32541208791208698</v>
      </c>
      <c r="L70" s="34">
        <v>41</v>
      </c>
      <c r="M70" s="34">
        <v>17.629903890660199</v>
      </c>
      <c r="N70" s="34">
        <v>40</v>
      </c>
      <c r="O70" s="34">
        <f t="shared" si="1"/>
        <v>221</v>
      </c>
      <c r="P70" s="36">
        <v>67</v>
      </c>
      <c r="Q70" s="34">
        <v>20.827378242122698</v>
      </c>
      <c r="R70" s="34">
        <v>5</v>
      </c>
      <c r="S70" s="34">
        <v>-17.952298029486599</v>
      </c>
      <c r="T70" s="34">
        <v>7</v>
      </c>
      <c r="U70" s="34">
        <v>-85.102804255809005</v>
      </c>
      <c r="V70" s="34">
        <v>7</v>
      </c>
      <c r="W70" s="37">
        <v>-1284530607.0597401</v>
      </c>
      <c r="X70" s="34">
        <v>7</v>
      </c>
      <c r="Y70" s="34">
        <f t="shared" si="2"/>
        <v>26</v>
      </c>
      <c r="Z70" s="36">
        <v>59</v>
      </c>
    </row>
    <row r="71" spans="1:26" ht="14.25" customHeight="1">
      <c r="A71" s="33">
        <v>202302</v>
      </c>
      <c r="B71" s="34" t="s">
        <v>112</v>
      </c>
      <c r="C71" s="34" t="s">
        <v>13</v>
      </c>
      <c r="D71" s="34" t="s">
        <v>150</v>
      </c>
      <c r="E71" s="35">
        <f t="shared" si="0"/>
        <v>253</v>
      </c>
      <c r="F71" s="36">
        <v>69</v>
      </c>
      <c r="G71" s="37">
        <v>466144729.5</v>
      </c>
      <c r="H71" s="34">
        <v>55</v>
      </c>
      <c r="I71" s="34">
        <v>30.5</v>
      </c>
      <c r="J71" s="34">
        <v>61</v>
      </c>
      <c r="K71" s="34">
        <v>0.17802731809823999</v>
      </c>
      <c r="L71" s="34">
        <v>71</v>
      </c>
      <c r="M71" s="34">
        <v>17.629903890660199</v>
      </c>
      <c r="N71" s="34">
        <v>40</v>
      </c>
      <c r="O71" s="34">
        <f t="shared" si="1"/>
        <v>227</v>
      </c>
      <c r="P71" s="36">
        <v>69</v>
      </c>
      <c r="Q71" s="34">
        <v>20.827378242122698</v>
      </c>
      <c r="R71" s="34">
        <v>5</v>
      </c>
      <c r="S71" s="34">
        <v>-17.952298029486599</v>
      </c>
      <c r="T71" s="34">
        <v>7</v>
      </c>
      <c r="U71" s="34">
        <v>-85.102804255809005</v>
      </c>
      <c r="V71" s="34">
        <v>7</v>
      </c>
      <c r="W71" s="37">
        <v>-1284530607.0597401</v>
      </c>
      <c r="X71" s="34">
        <v>7</v>
      </c>
      <c r="Y71" s="34">
        <f t="shared" si="2"/>
        <v>26</v>
      </c>
      <c r="Z71" s="36">
        <v>59</v>
      </c>
    </row>
    <row r="72" spans="1:26" ht="14.25" customHeight="1">
      <c r="A72" s="33">
        <v>202302</v>
      </c>
      <c r="B72" s="34" t="s">
        <v>104</v>
      </c>
      <c r="C72" s="34" t="s">
        <v>12</v>
      </c>
      <c r="D72" s="34" t="s">
        <v>151</v>
      </c>
      <c r="E72" s="35">
        <f t="shared" si="0"/>
        <v>260</v>
      </c>
      <c r="F72" s="36">
        <v>70</v>
      </c>
      <c r="G72" s="37">
        <v>408986347.5</v>
      </c>
      <c r="H72" s="34">
        <v>61</v>
      </c>
      <c r="I72" s="34">
        <v>29</v>
      </c>
      <c r="J72" s="34">
        <v>63</v>
      </c>
      <c r="K72" s="34">
        <v>0.216817140547096</v>
      </c>
      <c r="L72" s="34">
        <v>65</v>
      </c>
      <c r="M72" s="34">
        <v>20.0707346019657</v>
      </c>
      <c r="N72" s="34">
        <v>64</v>
      </c>
      <c r="O72" s="34">
        <f t="shared" si="1"/>
        <v>253</v>
      </c>
      <c r="P72" s="36">
        <v>72</v>
      </c>
      <c r="Q72" s="34">
        <v>14.826835892875501</v>
      </c>
      <c r="R72" s="34">
        <v>2</v>
      </c>
      <c r="S72" s="34">
        <v>23.946933719289401</v>
      </c>
      <c r="T72" s="34">
        <v>2</v>
      </c>
      <c r="U72" s="34">
        <v>131.50578000658601</v>
      </c>
      <c r="V72" s="34">
        <v>2</v>
      </c>
      <c r="W72" s="37">
        <v>5922871005.86201</v>
      </c>
      <c r="X72" s="34">
        <v>1</v>
      </c>
      <c r="Y72" s="34">
        <f t="shared" si="2"/>
        <v>7</v>
      </c>
      <c r="Z72" s="36">
        <v>6</v>
      </c>
    </row>
    <row r="73" spans="1:26" ht="14.25" customHeight="1">
      <c r="A73" s="33">
        <v>202302</v>
      </c>
      <c r="B73" s="34" t="s">
        <v>112</v>
      </c>
      <c r="C73" s="34" t="s">
        <v>13</v>
      </c>
      <c r="D73" s="34" t="s">
        <v>152</v>
      </c>
      <c r="E73" s="35">
        <f t="shared" si="0"/>
        <v>264</v>
      </c>
      <c r="F73" s="36">
        <v>71</v>
      </c>
      <c r="G73" s="33">
        <v>331338882.5</v>
      </c>
      <c r="H73" s="34">
        <v>66</v>
      </c>
      <c r="I73" s="34">
        <v>27.5</v>
      </c>
      <c r="J73" s="34">
        <v>64</v>
      </c>
      <c r="K73" s="34">
        <v>0.19309994926433199</v>
      </c>
      <c r="L73" s="34">
        <v>68</v>
      </c>
      <c r="M73" s="34">
        <v>17.629903890660199</v>
      </c>
      <c r="N73" s="34">
        <v>40</v>
      </c>
      <c r="O73" s="34">
        <f t="shared" si="1"/>
        <v>238</v>
      </c>
      <c r="P73" s="36">
        <v>70</v>
      </c>
      <c r="Q73" s="34">
        <v>20.827378242122698</v>
      </c>
      <c r="R73" s="34">
        <v>5</v>
      </c>
      <c r="S73" s="34">
        <v>-17.952298029486599</v>
      </c>
      <c r="T73" s="34">
        <v>7</v>
      </c>
      <c r="U73" s="34">
        <v>-85.102804255809005</v>
      </c>
      <c r="V73" s="34">
        <v>7</v>
      </c>
      <c r="W73" s="37">
        <v>-1284530607.0597401</v>
      </c>
      <c r="X73" s="34">
        <v>7</v>
      </c>
      <c r="Y73" s="34">
        <f t="shared" si="2"/>
        <v>26</v>
      </c>
      <c r="Z73" s="36">
        <v>59</v>
      </c>
    </row>
    <row r="74" spans="1:26" ht="14.25" customHeight="1">
      <c r="A74" s="33">
        <v>202302</v>
      </c>
      <c r="B74" s="34" t="s">
        <v>110</v>
      </c>
      <c r="C74" s="34" t="s">
        <v>7</v>
      </c>
      <c r="D74" s="34" t="s">
        <v>153</v>
      </c>
      <c r="E74" s="35">
        <f t="shared" si="0"/>
        <v>266</v>
      </c>
      <c r="F74" s="36">
        <v>72</v>
      </c>
      <c r="G74" s="33">
        <v>397152744</v>
      </c>
      <c r="H74" s="34">
        <v>62</v>
      </c>
      <c r="I74" s="34">
        <v>26.5</v>
      </c>
      <c r="J74" s="34">
        <v>67</v>
      </c>
      <c r="K74" s="34">
        <v>0.226750372419663</v>
      </c>
      <c r="L74" s="34">
        <v>63</v>
      </c>
      <c r="M74" s="34">
        <v>17.733002681756499</v>
      </c>
      <c r="N74" s="34">
        <v>56</v>
      </c>
      <c r="O74" s="34">
        <f t="shared" si="1"/>
        <v>248</v>
      </c>
      <c r="P74" s="36">
        <v>71</v>
      </c>
      <c r="Q74" s="34">
        <v>18.180746821652001</v>
      </c>
      <c r="R74" s="34">
        <v>3</v>
      </c>
      <c r="S74" s="34">
        <v>8.0310697713016701</v>
      </c>
      <c r="T74" s="34">
        <v>5</v>
      </c>
      <c r="U74" s="34">
        <v>40.915725083879003</v>
      </c>
      <c r="V74" s="34">
        <v>5</v>
      </c>
      <c r="W74" s="37">
        <v>780910798.99566698</v>
      </c>
      <c r="X74" s="34">
        <v>5</v>
      </c>
      <c r="Y74" s="34">
        <f t="shared" si="2"/>
        <v>18</v>
      </c>
      <c r="Z74" s="36">
        <v>39</v>
      </c>
    </row>
    <row r="75" spans="1:26" ht="14.25" customHeight="1">
      <c r="A75" s="33">
        <v>202302</v>
      </c>
      <c r="B75" s="34" t="s">
        <v>112</v>
      </c>
      <c r="C75" s="34" t="s">
        <v>13</v>
      </c>
      <c r="D75" s="34" t="s">
        <v>154</v>
      </c>
      <c r="E75" s="35">
        <f t="shared" si="0"/>
        <v>284</v>
      </c>
      <c r="F75" s="36">
        <v>73</v>
      </c>
      <c r="G75" s="37">
        <v>199334408</v>
      </c>
      <c r="H75" s="34">
        <v>72</v>
      </c>
      <c r="I75" s="34">
        <v>17</v>
      </c>
      <c r="J75" s="34">
        <v>72</v>
      </c>
      <c r="K75" s="34">
        <v>0.14801103368176499</v>
      </c>
      <c r="L75" s="34">
        <v>74</v>
      </c>
      <c r="M75" s="34">
        <v>17.629903890660199</v>
      </c>
      <c r="N75" s="34">
        <v>40</v>
      </c>
      <c r="O75" s="34">
        <f t="shared" si="1"/>
        <v>258</v>
      </c>
      <c r="P75" s="36">
        <v>73</v>
      </c>
      <c r="Q75" s="34">
        <v>20.827378242122698</v>
      </c>
      <c r="R75" s="34">
        <v>5</v>
      </c>
      <c r="S75" s="34">
        <v>-17.952298029486599</v>
      </c>
      <c r="T75" s="34">
        <v>7</v>
      </c>
      <c r="U75" s="34">
        <v>-85.102804255809005</v>
      </c>
      <c r="V75" s="34">
        <v>7</v>
      </c>
      <c r="W75" s="37">
        <v>-1284530607.0597401</v>
      </c>
      <c r="X75" s="34">
        <v>7</v>
      </c>
      <c r="Y75" s="34">
        <f t="shared" si="2"/>
        <v>26</v>
      </c>
      <c r="Z75" s="36">
        <v>59</v>
      </c>
    </row>
    <row r="76" spans="1:26" ht="14.25" customHeight="1">
      <c r="A76" s="33">
        <v>202302</v>
      </c>
      <c r="B76" s="34" t="s">
        <v>112</v>
      </c>
      <c r="C76" s="34" t="s">
        <v>13</v>
      </c>
      <c r="D76" s="34" t="s">
        <v>155</v>
      </c>
      <c r="E76" s="35">
        <f t="shared" si="0"/>
        <v>285</v>
      </c>
      <c r="F76" s="36">
        <v>74</v>
      </c>
      <c r="G76" s="34">
        <v>156703801.5</v>
      </c>
      <c r="H76" s="34">
        <v>74</v>
      </c>
      <c r="I76" s="34">
        <v>13.5</v>
      </c>
      <c r="J76" s="34">
        <v>73</v>
      </c>
      <c r="K76" s="34">
        <v>0.17631673881673801</v>
      </c>
      <c r="L76" s="34">
        <v>72</v>
      </c>
      <c r="M76" s="34">
        <v>17.629903890660199</v>
      </c>
      <c r="N76" s="34">
        <v>40</v>
      </c>
      <c r="O76" s="34">
        <f t="shared" si="1"/>
        <v>259</v>
      </c>
      <c r="P76" s="34">
        <v>74</v>
      </c>
      <c r="Q76" s="34">
        <v>20.827378242122698</v>
      </c>
      <c r="R76" s="34">
        <v>5</v>
      </c>
      <c r="S76" s="34">
        <v>-17.952298029486599</v>
      </c>
      <c r="T76" s="34">
        <v>7</v>
      </c>
      <c r="U76" s="34">
        <v>-85.102804255809005</v>
      </c>
      <c r="V76" s="34">
        <v>7</v>
      </c>
      <c r="W76" s="34">
        <v>-1284530607.0597401</v>
      </c>
      <c r="X76" s="34">
        <v>7</v>
      </c>
      <c r="Y76" s="34">
        <f t="shared" si="2"/>
        <v>26</v>
      </c>
      <c r="Z76" s="36">
        <v>59</v>
      </c>
    </row>
    <row r="77" spans="1:26" ht="14.25" customHeight="1"/>
    <row r="78" spans="1:26" ht="14.25" customHeight="1"/>
    <row r="79" spans="1:26" ht="14.25" customHeight="1"/>
    <row r="80" spans="1:26" ht="14.25" customHeight="1"/>
    <row r="81" spans="3:3" ht="14.25" customHeight="1"/>
    <row r="82" spans="3:3" ht="14.25" customHeight="1">
      <c r="C82" s="34" t="s">
        <v>667</v>
      </c>
    </row>
    <row r="83" spans="3:3" ht="14.25" customHeight="1"/>
    <row r="84" spans="3:3" ht="14.25" customHeight="1"/>
    <row r="85" spans="3:3" ht="14.25" customHeight="1"/>
    <row r="86" spans="3:3" ht="14.25" customHeight="1"/>
    <row r="87" spans="3:3" ht="14.25" customHeight="1"/>
    <row r="88" spans="3:3" ht="14.25" customHeight="1"/>
    <row r="89" spans="3:3" ht="14.25" customHeight="1"/>
    <row r="90" spans="3:3" ht="14.25" customHeight="1"/>
    <row r="91" spans="3:3" ht="14.25" customHeight="1"/>
    <row r="92" spans="3:3" ht="14.25" customHeight="1"/>
    <row r="93" spans="3:3" ht="14.25" customHeight="1"/>
    <row r="94" spans="3:3" ht="14.25" customHeight="1"/>
    <row r="95" spans="3:3" ht="14.25" customHeight="1"/>
    <row r="96" spans="3:3"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G1:P1"/>
    <mergeCell ref="Q1:Z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L1000"/>
  <sheetViews>
    <sheetView workbookViewId="0"/>
  </sheetViews>
  <sheetFormatPr defaultColWidth="14.44140625" defaultRowHeight="15" customHeight="1"/>
  <cols>
    <col min="1" max="1" width="10.6640625" customWidth="1"/>
    <col min="2" max="2" width="18.88671875" customWidth="1"/>
    <col min="3" max="3" width="16.33203125" customWidth="1"/>
    <col min="4" max="4" width="31.6640625" customWidth="1"/>
    <col min="5" max="9" width="12.33203125" customWidth="1"/>
    <col min="10" max="10" width="6.6640625" customWidth="1"/>
    <col min="11" max="11" width="6.88671875" customWidth="1"/>
    <col min="12" max="12" width="7" customWidth="1"/>
    <col min="13" max="13" width="6.88671875" customWidth="1"/>
    <col min="14" max="14" width="6.6640625" customWidth="1"/>
    <col min="15" max="15" width="7.109375" customWidth="1"/>
    <col min="16" max="16" width="7" customWidth="1"/>
    <col min="17" max="17" width="8.33203125" customWidth="1"/>
    <col min="18" max="18" width="8.44140625" customWidth="1"/>
    <col min="19" max="19" width="9" customWidth="1"/>
    <col min="20" max="20" width="8.44140625" customWidth="1"/>
    <col min="21" max="21" width="9.33203125" customWidth="1"/>
    <col min="22" max="22" width="8.33203125" customWidth="1"/>
    <col min="23" max="23" width="8.5546875" customWidth="1"/>
    <col min="24" max="24" width="8.6640625" customWidth="1"/>
    <col min="25" max="25" width="8.5546875" customWidth="1"/>
    <col min="26" max="26" width="8.44140625" customWidth="1"/>
    <col min="27" max="28" width="8.6640625" customWidth="1"/>
    <col min="29" max="29" width="12.109375" customWidth="1"/>
    <col min="30" max="30" width="12.33203125" customWidth="1"/>
    <col min="31" max="31" width="12.88671875" customWidth="1"/>
    <col min="32" max="32" width="12.33203125" customWidth="1"/>
    <col min="33" max="33" width="13.33203125" customWidth="1"/>
    <col min="34" max="34" width="12.109375" customWidth="1"/>
    <col min="35" max="35" width="12.44140625" customWidth="1"/>
    <col min="36" max="36" width="12.5546875" customWidth="1"/>
    <col min="37" max="37" width="12.44140625" customWidth="1"/>
    <col min="38" max="38" width="12.33203125" customWidth="1"/>
    <col min="39" max="39" width="12.6640625" customWidth="1"/>
    <col min="40" max="40" width="12.5546875" customWidth="1"/>
    <col min="41" max="41" width="9.88671875" customWidth="1"/>
    <col min="42" max="42" width="10.109375" customWidth="1"/>
    <col min="43" max="43" width="10.6640625" customWidth="1"/>
    <col min="44" max="44" width="10.109375" customWidth="1"/>
    <col min="45" max="45" width="10.88671875" customWidth="1"/>
    <col min="46" max="46" width="9.88671875" customWidth="1"/>
    <col min="47" max="49" width="10.33203125" customWidth="1"/>
    <col min="50" max="50" width="10.109375" customWidth="1"/>
    <col min="51" max="51" width="10.44140625" customWidth="1"/>
    <col min="52" max="52" width="10.33203125" customWidth="1"/>
    <col min="53" max="53" width="16" customWidth="1"/>
    <col min="54" max="54" width="16.33203125" customWidth="1"/>
    <col min="55" max="55" width="16.6640625" customWidth="1"/>
    <col min="56" max="56" width="16.33203125" customWidth="1"/>
    <col min="57" max="57" width="17" customWidth="1"/>
    <col min="58" max="58" width="16" customWidth="1"/>
    <col min="59" max="59" width="16.33203125" customWidth="1"/>
    <col min="60" max="60" width="16.44140625" customWidth="1"/>
    <col min="61" max="62" width="16.33203125" customWidth="1"/>
    <col min="63" max="63" width="16.5546875" customWidth="1"/>
    <col min="64" max="64" width="16.44140625" customWidth="1"/>
  </cols>
  <sheetData>
    <row r="1" spans="1:64" ht="23.25" customHeight="1">
      <c r="E1" s="142" t="s">
        <v>156</v>
      </c>
      <c r="F1" s="143"/>
      <c r="G1" s="143"/>
      <c r="H1" s="143"/>
      <c r="I1" s="143"/>
      <c r="J1" s="143"/>
      <c r="K1" s="143"/>
      <c r="L1" s="143"/>
      <c r="M1" s="143"/>
      <c r="N1" s="143"/>
      <c r="O1" s="143"/>
      <c r="P1" s="144"/>
      <c r="Q1" s="145" t="s">
        <v>157</v>
      </c>
      <c r="R1" s="143"/>
      <c r="S1" s="143"/>
      <c r="T1" s="143"/>
      <c r="U1" s="143"/>
      <c r="V1" s="143"/>
      <c r="W1" s="143"/>
      <c r="X1" s="143"/>
      <c r="Y1" s="143"/>
      <c r="Z1" s="143"/>
      <c r="AA1" s="143"/>
      <c r="AB1" s="144"/>
      <c r="AC1" s="142" t="s">
        <v>158</v>
      </c>
      <c r="AD1" s="143"/>
      <c r="AE1" s="143"/>
      <c r="AF1" s="143"/>
      <c r="AG1" s="143"/>
      <c r="AH1" s="143"/>
      <c r="AI1" s="143"/>
      <c r="AJ1" s="143"/>
      <c r="AK1" s="143"/>
      <c r="AL1" s="143"/>
      <c r="AM1" s="143"/>
      <c r="AN1" s="144"/>
      <c r="AO1" s="145" t="s">
        <v>159</v>
      </c>
      <c r="AP1" s="143"/>
      <c r="AQ1" s="143"/>
      <c r="AR1" s="143"/>
      <c r="AS1" s="143"/>
      <c r="AT1" s="143"/>
      <c r="AU1" s="143"/>
      <c r="AV1" s="143"/>
      <c r="AW1" s="143"/>
      <c r="AX1" s="143"/>
      <c r="AY1" s="143"/>
      <c r="AZ1" s="144"/>
      <c r="BA1" s="142" t="s">
        <v>160</v>
      </c>
      <c r="BB1" s="143"/>
      <c r="BC1" s="143"/>
      <c r="BD1" s="143"/>
      <c r="BE1" s="143"/>
      <c r="BF1" s="143"/>
      <c r="BG1" s="143"/>
      <c r="BH1" s="143"/>
      <c r="BI1" s="143"/>
      <c r="BJ1" s="143"/>
      <c r="BK1" s="143"/>
      <c r="BL1" s="144"/>
    </row>
    <row r="2" spans="1:64" ht="14.25" customHeight="1">
      <c r="A2" s="38" t="s">
        <v>48</v>
      </c>
      <c r="B2" s="38" t="s">
        <v>50</v>
      </c>
      <c r="C2" s="38" t="s">
        <v>161</v>
      </c>
      <c r="D2" s="38" t="s">
        <v>51</v>
      </c>
      <c r="E2" s="39" t="s">
        <v>162</v>
      </c>
      <c r="F2" s="39" t="s">
        <v>163</v>
      </c>
      <c r="G2" s="39" t="s">
        <v>164</v>
      </c>
      <c r="H2" s="39" t="s">
        <v>165</v>
      </c>
      <c r="I2" s="39" t="s">
        <v>166</v>
      </c>
      <c r="J2" s="39" t="s">
        <v>167</v>
      </c>
      <c r="K2" s="39" t="s">
        <v>168</v>
      </c>
      <c r="L2" s="39" t="s">
        <v>169</v>
      </c>
      <c r="M2" s="39" t="s">
        <v>170</v>
      </c>
      <c r="N2" s="39" t="s">
        <v>171</v>
      </c>
      <c r="O2" s="39" t="s">
        <v>172</v>
      </c>
      <c r="P2" s="39" t="s">
        <v>173</v>
      </c>
      <c r="Q2" s="38" t="s">
        <v>162</v>
      </c>
      <c r="R2" s="38" t="s">
        <v>163</v>
      </c>
      <c r="S2" s="38" t="s">
        <v>164</v>
      </c>
      <c r="T2" s="38" t="s">
        <v>165</v>
      </c>
      <c r="U2" s="38" t="s">
        <v>166</v>
      </c>
      <c r="V2" s="38" t="s">
        <v>167</v>
      </c>
      <c r="W2" s="38" t="s">
        <v>168</v>
      </c>
      <c r="X2" s="38" t="s">
        <v>169</v>
      </c>
      <c r="Y2" s="38" t="s">
        <v>170</v>
      </c>
      <c r="Z2" s="38" t="s">
        <v>171</v>
      </c>
      <c r="AA2" s="38" t="s">
        <v>172</v>
      </c>
      <c r="AB2" s="38" t="s">
        <v>173</v>
      </c>
      <c r="AC2" s="38" t="s">
        <v>162</v>
      </c>
      <c r="AD2" s="38" t="s">
        <v>163</v>
      </c>
      <c r="AE2" s="38" t="s">
        <v>164</v>
      </c>
      <c r="AF2" s="38" t="s">
        <v>165</v>
      </c>
      <c r="AG2" s="38" t="s">
        <v>166</v>
      </c>
      <c r="AH2" s="38" t="s">
        <v>167</v>
      </c>
      <c r="AI2" s="38" t="s">
        <v>168</v>
      </c>
      <c r="AJ2" s="38" t="s">
        <v>169</v>
      </c>
      <c r="AK2" s="38" t="s">
        <v>170</v>
      </c>
      <c r="AL2" s="38" t="s">
        <v>171</v>
      </c>
      <c r="AM2" s="38" t="s">
        <v>172</v>
      </c>
      <c r="AN2" s="38" t="s">
        <v>173</v>
      </c>
      <c r="AO2" s="38" t="s">
        <v>162</v>
      </c>
      <c r="AP2" s="38" t="s">
        <v>163</v>
      </c>
      <c r="AQ2" s="38" t="s">
        <v>164</v>
      </c>
      <c r="AR2" s="38" t="s">
        <v>165</v>
      </c>
      <c r="AS2" s="38" t="s">
        <v>166</v>
      </c>
      <c r="AT2" s="38" t="s">
        <v>167</v>
      </c>
      <c r="AU2" s="38" t="s">
        <v>168</v>
      </c>
      <c r="AV2" s="38" t="s">
        <v>169</v>
      </c>
      <c r="AW2" s="38" t="s">
        <v>170</v>
      </c>
      <c r="AX2" s="38" t="s">
        <v>171</v>
      </c>
      <c r="AY2" s="38" t="s">
        <v>172</v>
      </c>
      <c r="AZ2" s="38" t="s">
        <v>173</v>
      </c>
      <c r="BA2" s="38" t="s">
        <v>162</v>
      </c>
      <c r="BB2" s="38" t="s">
        <v>163</v>
      </c>
      <c r="BC2" s="38" t="s">
        <v>164</v>
      </c>
      <c r="BD2" s="38" t="s">
        <v>165</v>
      </c>
      <c r="BE2" s="38" t="s">
        <v>166</v>
      </c>
      <c r="BF2" s="38" t="s">
        <v>167</v>
      </c>
      <c r="BG2" s="38" t="s">
        <v>168</v>
      </c>
      <c r="BH2" s="38" t="s">
        <v>169</v>
      </c>
      <c r="BI2" s="38" t="s">
        <v>170</v>
      </c>
      <c r="BJ2" s="38" t="s">
        <v>171</v>
      </c>
      <c r="BK2" s="38" t="s">
        <v>172</v>
      </c>
      <c r="BL2" s="38" t="s">
        <v>173</v>
      </c>
    </row>
    <row r="3" spans="1:64" ht="14.25" customHeight="1">
      <c r="A3" s="33">
        <v>202305</v>
      </c>
      <c r="B3" s="34" t="s">
        <v>10</v>
      </c>
      <c r="C3" s="34" t="s">
        <v>174</v>
      </c>
      <c r="D3" s="34" t="s">
        <v>82</v>
      </c>
      <c r="E3" s="33">
        <v>4234429012</v>
      </c>
      <c r="F3" s="33">
        <v>862143316</v>
      </c>
      <c r="G3" s="33">
        <v>2854402179</v>
      </c>
      <c r="H3" s="33">
        <v>5129018015</v>
      </c>
      <c r="I3" s="33">
        <v>7487895345</v>
      </c>
      <c r="Q3" s="34">
        <v>257</v>
      </c>
      <c r="R3" s="34">
        <v>47</v>
      </c>
      <c r="S3" s="34">
        <v>187</v>
      </c>
      <c r="T3" s="34">
        <v>218</v>
      </c>
      <c r="U3" s="34">
        <v>231</v>
      </c>
      <c r="AC3" s="34">
        <v>202</v>
      </c>
      <c r="AD3" s="34">
        <v>84</v>
      </c>
      <c r="AE3" s="34">
        <v>176</v>
      </c>
      <c r="AF3" s="34">
        <v>241</v>
      </c>
      <c r="AG3" s="34">
        <v>207</v>
      </c>
      <c r="AO3" s="34">
        <v>360</v>
      </c>
      <c r="AP3" s="34">
        <v>153</v>
      </c>
      <c r="AQ3" s="34">
        <v>327</v>
      </c>
      <c r="AR3" s="34">
        <v>401</v>
      </c>
      <c r="AS3" s="34">
        <v>367</v>
      </c>
      <c r="BA3" s="34">
        <v>0.5611111111</v>
      </c>
      <c r="BB3" s="34">
        <v>0.54901960780000003</v>
      </c>
      <c r="BC3" s="34">
        <v>0.53822629970000002</v>
      </c>
      <c r="BD3" s="34">
        <v>0.60099750620000003</v>
      </c>
      <c r="BE3" s="34">
        <v>0.56403269749999996</v>
      </c>
    </row>
    <row r="4" spans="1:64" ht="14.25" customHeight="1">
      <c r="A4" s="33">
        <v>202305</v>
      </c>
      <c r="B4" s="34" t="s">
        <v>75</v>
      </c>
      <c r="C4" s="34" t="s">
        <v>175</v>
      </c>
      <c r="D4" s="34" t="s">
        <v>113</v>
      </c>
      <c r="E4" s="33">
        <v>2669392890</v>
      </c>
      <c r="F4" s="33">
        <v>1213304604</v>
      </c>
      <c r="G4" s="33">
        <v>3183814777</v>
      </c>
      <c r="H4" s="33">
        <v>3955308249</v>
      </c>
      <c r="I4" s="33">
        <v>7588205692</v>
      </c>
      <c r="Q4" s="34">
        <v>188</v>
      </c>
      <c r="R4" s="34">
        <v>83</v>
      </c>
      <c r="S4" s="34">
        <v>187</v>
      </c>
      <c r="T4" s="34">
        <v>186</v>
      </c>
      <c r="U4" s="34">
        <v>231</v>
      </c>
      <c r="AC4" s="34">
        <v>213</v>
      </c>
      <c r="AD4" s="34">
        <v>110</v>
      </c>
      <c r="AE4" s="34">
        <v>171</v>
      </c>
      <c r="AF4" s="34">
        <v>186</v>
      </c>
      <c r="AG4" s="34">
        <v>259</v>
      </c>
      <c r="AO4" s="34">
        <v>524</v>
      </c>
      <c r="AP4" s="34">
        <v>267</v>
      </c>
      <c r="AQ4" s="34">
        <v>451</v>
      </c>
      <c r="AR4" s="34">
        <v>465</v>
      </c>
      <c r="AS4" s="34">
        <v>447</v>
      </c>
      <c r="BA4" s="34">
        <v>0.40648854960000003</v>
      </c>
      <c r="BB4" s="34">
        <v>0.41198501869999998</v>
      </c>
      <c r="BC4" s="34">
        <v>0.37915742790000001</v>
      </c>
      <c r="BD4" s="34">
        <v>0.4</v>
      </c>
      <c r="BE4" s="34">
        <v>0.57941834449999996</v>
      </c>
    </row>
    <row r="5" spans="1:64" ht="14.25" customHeight="1">
      <c r="A5" s="33">
        <v>202305</v>
      </c>
      <c r="B5" s="34" t="s">
        <v>10</v>
      </c>
      <c r="C5" s="34" t="s">
        <v>176</v>
      </c>
      <c r="D5" s="34" t="s">
        <v>95</v>
      </c>
      <c r="E5" s="33">
        <v>2489225998</v>
      </c>
      <c r="F5" s="33">
        <v>716971007</v>
      </c>
      <c r="G5" s="33">
        <v>1862949904</v>
      </c>
      <c r="H5" s="33">
        <v>4525524495</v>
      </c>
      <c r="I5" s="33">
        <v>7341367575</v>
      </c>
      <c r="Q5" s="34">
        <v>151</v>
      </c>
      <c r="R5" s="34">
        <v>50</v>
      </c>
      <c r="S5" s="34">
        <v>153</v>
      </c>
      <c r="T5" s="34">
        <v>183</v>
      </c>
      <c r="U5" s="34">
        <v>193</v>
      </c>
      <c r="AC5" s="34">
        <v>161</v>
      </c>
      <c r="AD5" s="34">
        <v>71</v>
      </c>
      <c r="AE5" s="34">
        <v>137</v>
      </c>
      <c r="AF5" s="34">
        <v>195</v>
      </c>
      <c r="AG5" s="34">
        <v>218</v>
      </c>
      <c r="AO5" s="34">
        <v>353</v>
      </c>
      <c r="AP5" s="34">
        <v>152</v>
      </c>
      <c r="AQ5" s="34">
        <v>439</v>
      </c>
      <c r="AR5" s="34">
        <v>476</v>
      </c>
      <c r="AS5" s="34">
        <v>388</v>
      </c>
      <c r="BA5" s="34">
        <v>0.45609065160000001</v>
      </c>
      <c r="BB5" s="34">
        <v>0.46710526320000001</v>
      </c>
      <c r="BC5" s="34">
        <v>0.31207289290000001</v>
      </c>
      <c r="BD5" s="34">
        <v>0.4096638655</v>
      </c>
      <c r="BE5" s="34">
        <v>0.56185567010000004</v>
      </c>
    </row>
    <row r="6" spans="1:64" ht="14.25" customHeight="1">
      <c r="A6" s="33">
        <v>202305</v>
      </c>
      <c r="B6" s="34" t="s">
        <v>10</v>
      </c>
      <c r="C6" s="34" t="s">
        <v>177</v>
      </c>
      <c r="D6" s="34" t="s">
        <v>93</v>
      </c>
      <c r="E6" s="33">
        <v>3153668848</v>
      </c>
      <c r="F6" s="33">
        <v>800621869</v>
      </c>
      <c r="G6" s="33">
        <v>2950544718</v>
      </c>
      <c r="H6" s="33">
        <v>5692182824</v>
      </c>
      <c r="I6" s="33">
        <v>14757615</v>
      </c>
      <c r="Q6" s="34">
        <v>227</v>
      </c>
      <c r="R6" s="34">
        <v>65</v>
      </c>
      <c r="S6" s="34">
        <v>203</v>
      </c>
      <c r="T6" s="34">
        <v>180</v>
      </c>
      <c r="U6" s="34">
        <v>4</v>
      </c>
      <c r="AC6" s="34">
        <v>210</v>
      </c>
      <c r="AD6" s="34">
        <v>89</v>
      </c>
      <c r="AE6" s="34">
        <v>188</v>
      </c>
      <c r="AF6" s="34">
        <v>219</v>
      </c>
      <c r="AG6" s="34">
        <v>0</v>
      </c>
      <c r="AO6" s="34">
        <v>510</v>
      </c>
      <c r="AP6" s="34">
        <v>190</v>
      </c>
      <c r="AQ6" s="34">
        <v>430</v>
      </c>
      <c r="AR6" s="34">
        <v>477</v>
      </c>
      <c r="AS6" s="34">
        <v>0</v>
      </c>
      <c r="BA6" s="34">
        <v>0.41176470590000003</v>
      </c>
      <c r="BB6" s="34">
        <v>0.4684210526</v>
      </c>
      <c r="BC6" s="34">
        <v>0.43720930229999999</v>
      </c>
      <c r="BD6" s="34">
        <v>0.45911949689999998</v>
      </c>
      <c r="BE6" s="34">
        <v>0</v>
      </c>
    </row>
    <row r="7" spans="1:64" ht="14.25" customHeight="1">
      <c r="A7" s="33">
        <v>202305</v>
      </c>
      <c r="B7" s="34" t="s">
        <v>12</v>
      </c>
      <c r="C7" s="34" t="s">
        <v>178</v>
      </c>
      <c r="D7" s="34" t="s">
        <v>117</v>
      </c>
      <c r="E7" s="33">
        <v>1434308136</v>
      </c>
      <c r="F7" s="33">
        <v>706688434</v>
      </c>
      <c r="G7" s="33">
        <v>1100532869</v>
      </c>
      <c r="H7" s="33">
        <v>2809374097</v>
      </c>
      <c r="I7" s="33">
        <v>3194320799</v>
      </c>
      <c r="Q7" s="34">
        <v>99</v>
      </c>
      <c r="R7" s="34">
        <v>51</v>
      </c>
      <c r="S7" s="34">
        <v>69</v>
      </c>
      <c r="T7" s="34">
        <v>55</v>
      </c>
      <c r="U7" s="34">
        <v>77</v>
      </c>
      <c r="AC7" s="34">
        <v>58</v>
      </c>
      <c r="AD7" s="34">
        <v>33</v>
      </c>
      <c r="AE7" s="34">
        <v>81</v>
      </c>
      <c r="AF7" s="34">
        <v>64</v>
      </c>
      <c r="AG7" s="34">
        <v>101</v>
      </c>
      <c r="AO7" s="34">
        <v>204</v>
      </c>
      <c r="AP7" s="34">
        <v>83</v>
      </c>
      <c r="AQ7" s="34">
        <v>279</v>
      </c>
      <c r="AR7" s="34">
        <v>229</v>
      </c>
      <c r="AS7" s="34">
        <v>287</v>
      </c>
      <c r="BA7" s="34">
        <v>0.2843137255</v>
      </c>
      <c r="BB7" s="34">
        <v>0.39759036139999998</v>
      </c>
      <c r="BC7" s="34">
        <v>0.29032258059999999</v>
      </c>
      <c r="BD7" s="34">
        <v>0.2794759825</v>
      </c>
      <c r="BE7" s="34">
        <v>0.3519163763</v>
      </c>
    </row>
    <row r="8" spans="1:64" ht="14.25" customHeight="1">
      <c r="A8" s="33">
        <v>202305</v>
      </c>
      <c r="B8" s="34" t="s">
        <v>10</v>
      </c>
      <c r="C8" s="34" t="s">
        <v>179</v>
      </c>
      <c r="D8" s="34" t="s">
        <v>88</v>
      </c>
      <c r="E8" s="33">
        <v>2774937069</v>
      </c>
      <c r="F8" s="33">
        <v>1734747029</v>
      </c>
      <c r="G8" s="33">
        <v>3521306957</v>
      </c>
      <c r="H8" s="33">
        <v>3533398381</v>
      </c>
      <c r="I8" s="33">
        <v>8996540086</v>
      </c>
      <c r="Q8" s="34">
        <v>172</v>
      </c>
      <c r="R8" s="34">
        <v>93</v>
      </c>
      <c r="S8" s="34">
        <v>192</v>
      </c>
      <c r="T8" s="34">
        <v>175</v>
      </c>
      <c r="U8" s="34">
        <v>208</v>
      </c>
      <c r="AC8" s="34">
        <v>194</v>
      </c>
      <c r="AD8" s="34">
        <v>138</v>
      </c>
      <c r="AE8" s="34">
        <v>189</v>
      </c>
      <c r="AF8" s="34">
        <v>248</v>
      </c>
      <c r="AG8" s="34">
        <v>250</v>
      </c>
      <c r="AO8" s="34">
        <v>462</v>
      </c>
      <c r="AP8" s="34">
        <v>271</v>
      </c>
      <c r="AQ8" s="34">
        <v>553</v>
      </c>
      <c r="AR8" s="34">
        <v>449</v>
      </c>
      <c r="AS8" s="34">
        <v>534</v>
      </c>
      <c r="BA8" s="34">
        <v>0.41991341989999997</v>
      </c>
      <c r="BB8" s="34">
        <v>0.50922509230000002</v>
      </c>
      <c r="BC8" s="34">
        <v>0.34177215189999999</v>
      </c>
      <c r="BD8" s="34">
        <v>0.5523385301</v>
      </c>
      <c r="BE8" s="34">
        <v>0.468164794</v>
      </c>
    </row>
    <row r="9" spans="1:64" ht="14.25" customHeight="1">
      <c r="A9" s="33">
        <v>202305</v>
      </c>
      <c r="B9" s="34" t="s">
        <v>75</v>
      </c>
      <c r="C9" s="34" t="s">
        <v>180</v>
      </c>
      <c r="D9" s="34" t="s">
        <v>96</v>
      </c>
      <c r="E9" s="33">
        <v>2414264828</v>
      </c>
      <c r="F9" s="33">
        <v>848339600</v>
      </c>
      <c r="G9" s="33">
        <v>2091570793</v>
      </c>
      <c r="H9" s="33">
        <v>4982274731</v>
      </c>
      <c r="I9" s="33">
        <v>9814596731</v>
      </c>
      <c r="Q9" s="34">
        <v>161</v>
      </c>
      <c r="R9" s="34">
        <v>55</v>
      </c>
      <c r="S9" s="34">
        <v>177</v>
      </c>
      <c r="T9" s="34">
        <v>200</v>
      </c>
      <c r="U9" s="34">
        <v>330</v>
      </c>
      <c r="AC9" s="34">
        <v>190</v>
      </c>
      <c r="AD9" s="34">
        <v>68</v>
      </c>
      <c r="AE9" s="34">
        <v>221</v>
      </c>
      <c r="AF9" s="34">
        <v>185</v>
      </c>
      <c r="AG9" s="34">
        <v>375</v>
      </c>
      <c r="AO9" s="34">
        <v>560</v>
      </c>
      <c r="AP9" s="34">
        <v>238</v>
      </c>
      <c r="AQ9" s="34">
        <v>466</v>
      </c>
      <c r="AR9" s="34">
        <v>452</v>
      </c>
      <c r="AS9" s="34">
        <v>725</v>
      </c>
      <c r="BA9" s="34">
        <v>0.33928571429999999</v>
      </c>
      <c r="BB9" s="34">
        <v>0.28571428570000001</v>
      </c>
      <c r="BC9" s="34">
        <v>0.47424892699999999</v>
      </c>
      <c r="BD9" s="34">
        <v>0.40929203539999998</v>
      </c>
      <c r="BE9" s="34">
        <v>0.51724137930000003</v>
      </c>
    </row>
    <row r="10" spans="1:64" ht="14.25" customHeight="1">
      <c r="A10" s="33">
        <v>202305</v>
      </c>
      <c r="B10" s="34" t="s">
        <v>12</v>
      </c>
      <c r="C10" s="34" t="s">
        <v>181</v>
      </c>
      <c r="D10" s="34" t="s">
        <v>182</v>
      </c>
      <c r="E10" s="33"/>
      <c r="F10" s="33"/>
      <c r="G10" s="33">
        <v>1031543705</v>
      </c>
      <c r="H10" s="33">
        <v>1781763799</v>
      </c>
      <c r="I10" s="33">
        <v>4401057969</v>
      </c>
      <c r="S10" s="34">
        <v>75</v>
      </c>
      <c r="T10" s="34">
        <v>60</v>
      </c>
      <c r="U10" s="34">
        <v>84</v>
      </c>
      <c r="AE10" s="34">
        <v>68</v>
      </c>
      <c r="AF10" s="34">
        <v>75</v>
      </c>
      <c r="AG10" s="34">
        <v>103</v>
      </c>
      <c r="AQ10" s="34">
        <v>177</v>
      </c>
      <c r="AR10" s="34">
        <v>222</v>
      </c>
      <c r="AS10" s="34">
        <v>284</v>
      </c>
      <c r="BC10" s="34">
        <v>0.38418079100000002</v>
      </c>
      <c r="BD10" s="34">
        <v>0.33783783779999998</v>
      </c>
      <c r="BE10" s="34">
        <v>0.36267605629999999</v>
      </c>
    </row>
    <row r="11" spans="1:64" ht="14.25" customHeight="1">
      <c r="A11" s="33">
        <v>202305</v>
      </c>
      <c r="B11" s="34" t="s">
        <v>75</v>
      </c>
      <c r="C11" s="34" t="s">
        <v>183</v>
      </c>
      <c r="D11" s="34" t="s">
        <v>80</v>
      </c>
      <c r="E11" s="33">
        <v>3349333925</v>
      </c>
      <c r="F11" s="33">
        <v>1027971509</v>
      </c>
      <c r="G11" s="33">
        <v>2015664719</v>
      </c>
      <c r="H11" s="33">
        <v>4924103274</v>
      </c>
      <c r="I11" s="33">
        <v>7305327430</v>
      </c>
      <c r="Q11" s="34">
        <v>273</v>
      </c>
      <c r="R11" s="34">
        <v>86</v>
      </c>
      <c r="S11" s="34">
        <v>165</v>
      </c>
      <c r="T11" s="34">
        <v>331</v>
      </c>
      <c r="U11" s="34">
        <v>335</v>
      </c>
      <c r="AC11" s="34">
        <v>227</v>
      </c>
      <c r="AD11" s="34">
        <v>88</v>
      </c>
      <c r="AE11" s="34">
        <v>179</v>
      </c>
      <c r="AF11" s="34">
        <v>350</v>
      </c>
      <c r="AG11" s="34">
        <v>357</v>
      </c>
      <c r="AO11" s="34">
        <v>619</v>
      </c>
      <c r="AP11" s="34">
        <v>236</v>
      </c>
      <c r="AQ11" s="34">
        <v>573</v>
      </c>
      <c r="AR11" s="34">
        <v>669</v>
      </c>
      <c r="AS11" s="34">
        <v>714</v>
      </c>
      <c r="BA11" s="34">
        <v>0.36672051700000002</v>
      </c>
      <c r="BB11" s="34">
        <v>0.37288135589999999</v>
      </c>
      <c r="BC11" s="34">
        <v>0.31239092499999999</v>
      </c>
      <c r="BD11" s="34">
        <v>0.5231689088</v>
      </c>
      <c r="BE11" s="34">
        <v>0.5</v>
      </c>
    </row>
    <row r="12" spans="1:64" ht="14.25" customHeight="1">
      <c r="A12" s="33">
        <v>202305</v>
      </c>
      <c r="B12" s="34" t="s">
        <v>75</v>
      </c>
      <c r="C12" s="34" t="s">
        <v>184</v>
      </c>
      <c r="D12" s="34" t="s">
        <v>124</v>
      </c>
      <c r="E12" s="33">
        <v>887135656</v>
      </c>
      <c r="F12" s="33">
        <v>228959018</v>
      </c>
      <c r="G12" s="33">
        <v>620591956</v>
      </c>
      <c r="H12" s="33">
        <v>2402066087</v>
      </c>
      <c r="I12" s="33">
        <v>3092897926</v>
      </c>
      <c r="Q12" s="34">
        <v>71</v>
      </c>
      <c r="R12" s="34">
        <v>18</v>
      </c>
      <c r="S12" s="34">
        <v>53</v>
      </c>
      <c r="T12" s="34">
        <v>126</v>
      </c>
      <c r="U12" s="34">
        <v>121</v>
      </c>
      <c r="AC12" s="34">
        <v>76</v>
      </c>
      <c r="AD12" s="34">
        <v>17</v>
      </c>
      <c r="AE12" s="34">
        <v>50</v>
      </c>
      <c r="AF12" s="34">
        <v>123</v>
      </c>
      <c r="AG12" s="34">
        <v>113</v>
      </c>
      <c r="AO12" s="34">
        <v>239</v>
      </c>
      <c r="AP12" s="34">
        <v>149</v>
      </c>
      <c r="AQ12" s="34">
        <v>244</v>
      </c>
      <c r="AR12" s="34">
        <v>347</v>
      </c>
      <c r="AS12" s="34">
        <v>358</v>
      </c>
      <c r="BA12" s="34">
        <v>0.31799163180000001</v>
      </c>
      <c r="BB12" s="34">
        <v>0.1140939597</v>
      </c>
      <c r="BC12" s="34">
        <v>0.20491803280000001</v>
      </c>
      <c r="BD12" s="34">
        <v>0.35446685880000001</v>
      </c>
      <c r="BE12" s="34">
        <v>0.31564245810000002</v>
      </c>
    </row>
    <row r="13" spans="1:64" ht="14.25" customHeight="1">
      <c r="A13" s="33">
        <v>202305</v>
      </c>
      <c r="B13" s="34" t="s">
        <v>75</v>
      </c>
      <c r="C13" s="34" t="s">
        <v>185</v>
      </c>
      <c r="D13" s="34" t="s">
        <v>116</v>
      </c>
      <c r="E13" s="33">
        <v>744931073</v>
      </c>
      <c r="F13" s="33">
        <v>179149740</v>
      </c>
      <c r="G13" s="33">
        <v>142463273</v>
      </c>
      <c r="H13" s="33">
        <v>1358401874</v>
      </c>
      <c r="I13" s="33">
        <v>2468587486</v>
      </c>
      <c r="Q13" s="34">
        <v>54</v>
      </c>
      <c r="R13" s="34">
        <v>9</v>
      </c>
      <c r="S13" s="34">
        <v>14</v>
      </c>
      <c r="T13" s="34">
        <v>37</v>
      </c>
      <c r="U13" s="34">
        <v>68</v>
      </c>
      <c r="AC13" s="34">
        <v>62</v>
      </c>
      <c r="AD13" s="34">
        <v>19</v>
      </c>
      <c r="AE13" s="34">
        <v>16</v>
      </c>
      <c r="AF13" s="34">
        <v>38</v>
      </c>
      <c r="AG13" s="34">
        <v>80</v>
      </c>
      <c r="AO13" s="34">
        <v>195</v>
      </c>
      <c r="AP13" s="34">
        <v>40</v>
      </c>
      <c r="AQ13" s="34">
        <v>36</v>
      </c>
      <c r="AR13" s="34">
        <v>143</v>
      </c>
      <c r="AS13" s="34">
        <v>191</v>
      </c>
      <c r="BA13" s="34">
        <v>0.31794871790000001</v>
      </c>
      <c r="BB13" s="34">
        <v>0.47499999999999998</v>
      </c>
      <c r="BC13" s="34">
        <v>0.44444444440000003</v>
      </c>
      <c r="BD13" s="34">
        <v>0.26573426570000003</v>
      </c>
      <c r="BE13" s="34">
        <v>0.41884816749999998</v>
      </c>
    </row>
    <row r="14" spans="1:64" ht="14.25" customHeight="1">
      <c r="A14" s="33">
        <v>202305</v>
      </c>
      <c r="B14" s="34" t="s">
        <v>12</v>
      </c>
      <c r="C14" s="34" t="s">
        <v>186</v>
      </c>
      <c r="D14" s="34" t="s">
        <v>121</v>
      </c>
      <c r="E14" s="33">
        <v>1064443466</v>
      </c>
      <c r="F14" s="33">
        <v>544175067</v>
      </c>
      <c r="G14" s="33">
        <v>919919229</v>
      </c>
      <c r="H14" s="33">
        <v>1895754245</v>
      </c>
      <c r="I14" s="33">
        <v>4468187979</v>
      </c>
      <c r="Q14" s="34">
        <v>91</v>
      </c>
      <c r="R14" s="34">
        <v>40</v>
      </c>
      <c r="S14" s="34">
        <v>77</v>
      </c>
      <c r="T14" s="34">
        <v>83</v>
      </c>
      <c r="U14" s="34">
        <v>102</v>
      </c>
      <c r="AC14" s="34">
        <v>85</v>
      </c>
      <c r="AD14" s="34">
        <v>56</v>
      </c>
      <c r="AE14" s="34">
        <v>67</v>
      </c>
      <c r="AF14" s="34">
        <v>82</v>
      </c>
      <c r="AG14" s="34">
        <v>108</v>
      </c>
      <c r="AO14" s="34">
        <v>251</v>
      </c>
      <c r="AP14" s="34">
        <v>132</v>
      </c>
      <c r="AQ14" s="34">
        <v>227</v>
      </c>
      <c r="AR14" s="34">
        <v>223</v>
      </c>
      <c r="AS14" s="34">
        <v>184</v>
      </c>
      <c r="BA14" s="34">
        <v>0.3386454183</v>
      </c>
      <c r="BB14" s="34">
        <v>0.42424242420000002</v>
      </c>
      <c r="BC14" s="34">
        <v>0.29515418500000001</v>
      </c>
      <c r="BD14" s="34">
        <v>0.3677130045</v>
      </c>
      <c r="BE14" s="34">
        <v>0.58695652170000001</v>
      </c>
    </row>
    <row r="15" spans="1:64" ht="14.25" customHeight="1">
      <c r="A15" s="33">
        <v>202305</v>
      </c>
      <c r="B15" s="34" t="s">
        <v>75</v>
      </c>
      <c r="C15" s="34" t="s">
        <v>187</v>
      </c>
      <c r="D15" s="34" t="s">
        <v>103</v>
      </c>
      <c r="E15" s="33">
        <v>1696892628</v>
      </c>
      <c r="F15" s="33">
        <v>509607261</v>
      </c>
      <c r="G15" s="33">
        <v>1825798965</v>
      </c>
      <c r="H15" s="33">
        <v>3941297481</v>
      </c>
      <c r="I15" s="33">
        <v>9839772725</v>
      </c>
      <c r="Q15" s="34">
        <v>138</v>
      </c>
      <c r="R15" s="34">
        <v>45</v>
      </c>
      <c r="S15" s="34">
        <v>152</v>
      </c>
      <c r="T15" s="34">
        <v>165</v>
      </c>
      <c r="U15" s="34">
        <v>275</v>
      </c>
      <c r="AC15" s="34">
        <v>109</v>
      </c>
      <c r="AD15" s="34">
        <v>52</v>
      </c>
      <c r="AE15" s="34">
        <v>133</v>
      </c>
      <c r="AF15" s="34">
        <v>143</v>
      </c>
      <c r="AG15" s="34">
        <v>320</v>
      </c>
      <c r="AO15" s="34">
        <v>380</v>
      </c>
      <c r="AP15" s="34">
        <v>205</v>
      </c>
      <c r="AQ15" s="34">
        <v>340</v>
      </c>
      <c r="AR15" s="34">
        <v>323</v>
      </c>
      <c r="AS15" s="34">
        <v>703</v>
      </c>
      <c r="BA15" s="34">
        <v>0.28684210529999998</v>
      </c>
      <c r="BB15" s="34">
        <v>0.25365853659999998</v>
      </c>
      <c r="BC15" s="34">
        <v>0.39117647059999999</v>
      </c>
      <c r="BD15" s="34">
        <v>0.4427244582</v>
      </c>
      <c r="BE15" s="34">
        <v>0.45519203409999998</v>
      </c>
    </row>
    <row r="16" spans="1:64" ht="14.25" customHeight="1">
      <c r="A16" s="33">
        <v>202305</v>
      </c>
      <c r="B16" s="34" t="s">
        <v>13</v>
      </c>
      <c r="C16" s="34" t="s">
        <v>188</v>
      </c>
      <c r="D16" s="34" t="s">
        <v>143</v>
      </c>
      <c r="E16" s="33">
        <v>1209581540</v>
      </c>
      <c r="F16" s="33">
        <v>235896872</v>
      </c>
      <c r="G16" s="33">
        <v>676688932</v>
      </c>
      <c r="H16" s="33">
        <v>1727774141</v>
      </c>
      <c r="I16" s="33">
        <v>2012518041</v>
      </c>
      <c r="Q16" s="34">
        <v>89</v>
      </c>
      <c r="R16" s="34">
        <v>22</v>
      </c>
      <c r="S16" s="34">
        <v>65</v>
      </c>
      <c r="T16" s="34">
        <v>71</v>
      </c>
      <c r="U16" s="34">
        <v>69</v>
      </c>
      <c r="AC16" s="34">
        <v>68</v>
      </c>
      <c r="AD16" s="34">
        <v>19</v>
      </c>
      <c r="AE16" s="34">
        <v>78</v>
      </c>
      <c r="AF16" s="34">
        <v>84</v>
      </c>
      <c r="AG16" s="34">
        <v>69</v>
      </c>
      <c r="AO16" s="34">
        <v>320</v>
      </c>
      <c r="AP16" s="34">
        <v>93</v>
      </c>
      <c r="AQ16" s="34">
        <v>287</v>
      </c>
      <c r="AR16" s="34">
        <v>306</v>
      </c>
      <c r="AS16" s="34">
        <v>325</v>
      </c>
      <c r="BA16" s="34">
        <v>0.21249999999999999</v>
      </c>
      <c r="BB16" s="34">
        <v>0.2043010753</v>
      </c>
      <c r="BC16" s="34">
        <v>0.2717770035</v>
      </c>
      <c r="BD16" s="34">
        <v>0.27450980390000002</v>
      </c>
      <c r="BE16" s="34">
        <v>0.21230769229999999</v>
      </c>
    </row>
    <row r="17" spans="1:57" ht="14.25" customHeight="1">
      <c r="A17" s="33">
        <v>202305</v>
      </c>
      <c r="B17" s="34" t="s">
        <v>75</v>
      </c>
      <c r="C17" s="34" t="s">
        <v>189</v>
      </c>
      <c r="D17" s="34" t="s">
        <v>106</v>
      </c>
      <c r="E17" s="33">
        <v>1528431838</v>
      </c>
      <c r="F17" s="33">
        <v>332735186</v>
      </c>
      <c r="G17" s="33">
        <v>1218743774</v>
      </c>
      <c r="H17" s="33">
        <v>2674696085</v>
      </c>
      <c r="I17" s="33">
        <v>4931837225</v>
      </c>
      <c r="Q17" s="34">
        <v>129</v>
      </c>
      <c r="R17" s="34">
        <v>33</v>
      </c>
      <c r="S17" s="34">
        <v>83</v>
      </c>
      <c r="T17" s="34">
        <v>128</v>
      </c>
      <c r="U17" s="34">
        <v>105</v>
      </c>
      <c r="AC17" s="34">
        <v>106</v>
      </c>
      <c r="AD17" s="34">
        <v>38</v>
      </c>
      <c r="AE17" s="34">
        <v>83</v>
      </c>
      <c r="AF17" s="34">
        <v>124</v>
      </c>
      <c r="AG17" s="34">
        <v>121</v>
      </c>
      <c r="AO17" s="34">
        <v>318</v>
      </c>
      <c r="AP17" s="34">
        <v>161</v>
      </c>
      <c r="AQ17" s="34">
        <v>188</v>
      </c>
      <c r="AR17" s="34">
        <v>347</v>
      </c>
      <c r="AS17" s="34">
        <v>243</v>
      </c>
      <c r="BA17" s="34">
        <v>0.33333333329999998</v>
      </c>
      <c r="BB17" s="34">
        <v>0.23602484470000001</v>
      </c>
      <c r="BC17" s="34">
        <v>0.44148936170000003</v>
      </c>
      <c r="BD17" s="34">
        <v>0.35734870320000001</v>
      </c>
      <c r="BE17" s="34">
        <v>0.49794238680000003</v>
      </c>
    </row>
    <row r="18" spans="1:57" ht="14.25" customHeight="1">
      <c r="A18" s="33">
        <v>202305</v>
      </c>
      <c r="B18" s="34" t="s">
        <v>75</v>
      </c>
      <c r="C18" s="34" t="s">
        <v>190</v>
      </c>
      <c r="D18" s="34" t="s">
        <v>84</v>
      </c>
      <c r="E18" s="33">
        <v>1991804080</v>
      </c>
      <c r="F18" s="33">
        <v>614992243</v>
      </c>
      <c r="G18" s="33">
        <v>1921271123</v>
      </c>
      <c r="H18" s="33">
        <v>4890983443</v>
      </c>
      <c r="I18" s="33">
        <v>4327340342</v>
      </c>
      <c r="Q18" s="34">
        <v>213</v>
      </c>
      <c r="R18" s="34">
        <v>66</v>
      </c>
      <c r="S18" s="34">
        <v>153</v>
      </c>
      <c r="T18" s="34">
        <v>195</v>
      </c>
      <c r="U18" s="34">
        <v>265</v>
      </c>
      <c r="AC18" s="34">
        <v>198</v>
      </c>
      <c r="AD18" s="34">
        <v>81</v>
      </c>
      <c r="AE18" s="34">
        <v>156</v>
      </c>
      <c r="AF18" s="34">
        <v>210</v>
      </c>
      <c r="AG18" s="34">
        <v>269</v>
      </c>
      <c r="AO18" s="34">
        <v>501</v>
      </c>
      <c r="AP18" s="34">
        <v>162</v>
      </c>
      <c r="AQ18" s="34">
        <v>303</v>
      </c>
      <c r="AR18" s="34">
        <v>339</v>
      </c>
      <c r="AS18" s="34">
        <v>426</v>
      </c>
      <c r="BA18" s="34">
        <v>0.39520958080000002</v>
      </c>
      <c r="BB18" s="34">
        <v>0.5</v>
      </c>
      <c r="BC18" s="34">
        <v>0.51485148510000001</v>
      </c>
      <c r="BD18" s="34">
        <v>0.61946902650000002</v>
      </c>
      <c r="BE18" s="34">
        <v>0.63145539910000004</v>
      </c>
    </row>
    <row r="19" spans="1:57" ht="14.25" customHeight="1">
      <c r="A19" s="33">
        <v>202305</v>
      </c>
      <c r="B19" s="34" t="s">
        <v>75</v>
      </c>
      <c r="C19" s="34" t="s">
        <v>191</v>
      </c>
      <c r="D19" s="34" t="s">
        <v>76</v>
      </c>
      <c r="E19" s="33">
        <v>3533000649</v>
      </c>
      <c r="F19" s="33">
        <v>2268768823</v>
      </c>
      <c r="G19" s="33">
        <v>5298816227</v>
      </c>
      <c r="H19" s="33">
        <v>8174407399</v>
      </c>
      <c r="I19" s="33">
        <v>7352658808</v>
      </c>
      <c r="Q19" s="34">
        <v>253</v>
      </c>
      <c r="R19" s="34">
        <v>98</v>
      </c>
      <c r="S19" s="34">
        <v>202</v>
      </c>
      <c r="T19" s="34">
        <v>233</v>
      </c>
      <c r="U19" s="34">
        <v>252</v>
      </c>
      <c r="AC19" s="34">
        <v>262</v>
      </c>
      <c r="AD19" s="34">
        <v>114</v>
      </c>
      <c r="AE19" s="34">
        <v>211</v>
      </c>
      <c r="AF19" s="34">
        <v>228</v>
      </c>
      <c r="AG19" s="34">
        <v>285</v>
      </c>
      <c r="AO19" s="34">
        <v>540</v>
      </c>
      <c r="AP19" s="34">
        <v>248</v>
      </c>
      <c r="AQ19" s="34">
        <v>432</v>
      </c>
      <c r="AR19" s="34">
        <v>372</v>
      </c>
      <c r="AS19" s="34">
        <v>449</v>
      </c>
      <c r="BA19" s="34">
        <v>0.48518518519999998</v>
      </c>
      <c r="BB19" s="34">
        <v>0.45967741940000001</v>
      </c>
      <c r="BC19" s="34">
        <v>0.4884259259</v>
      </c>
      <c r="BD19" s="34">
        <v>0.61290322580000001</v>
      </c>
      <c r="BE19" s="34">
        <v>0.63474387529999998</v>
      </c>
    </row>
    <row r="20" spans="1:57" ht="14.25" customHeight="1">
      <c r="A20" s="33">
        <v>202305</v>
      </c>
      <c r="B20" s="34" t="s">
        <v>12</v>
      </c>
      <c r="C20" s="34" t="s">
        <v>192</v>
      </c>
      <c r="D20" s="34" t="s">
        <v>105</v>
      </c>
      <c r="E20" s="33">
        <v>1742888957</v>
      </c>
      <c r="F20" s="33">
        <v>711159203</v>
      </c>
      <c r="G20" s="33">
        <v>2005586424</v>
      </c>
      <c r="H20" s="33">
        <v>6658712711</v>
      </c>
      <c r="I20" s="33">
        <v>7353157091</v>
      </c>
      <c r="Q20" s="34">
        <v>138</v>
      </c>
      <c r="R20" s="34">
        <v>65</v>
      </c>
      <c r="S20" s="34">
        <v>143</v>
      </c>
      <c r="T20" s="34">
        <v>144</v>
      </c>
      <c r="U20" s="34">
        <v>137</v>
      </c>
      <c r="AC20" s="34">
        <v>119</v>
      </c>
      <c r="AD20" s="34">
        <v>66</v>
      </c>
      <c r="AE20" s="34">
        <v>138</v>
      </c>
      <c r="AF20" s="34">
        <v>182</v>
      </c>
      <c r="AG20" s="34">
        <v>141</v>
      </c>
      <c r="AO20" s="34">
        <v>232</v>
      </c>
      <c r="AP20" s="34">
        <v>186</v>
      </c>
      <c r="AQ20" s="34">
        <v>324</v>
      </c>
      <c r="AR20" s="34">
        <v>367</v>
      </c>
      <c r="AS20" s="34">
        <v>291</v>
      </c>
      <c r="BA20" s="34">
        <v>0.51293103449999999</v>
      </c>
      <c r="BB20" s="34">
        <v>0.35483870969999998</v>
      </c>
      <c r="BC20" s="34">
        <v>0.4259259259</v>
      </c>
      <c r="BD20" s="34">
        <v>0.49591280650000003</v>
      </c>
      <c r="BE20" s="34">
        <v>0.48453608250000002</v>
      </c>
    </row>
    <row r="21" spans="1:57" ht="14.25" customHeight="1">
      <c r="A21" s="33">
        <v>202305</v>
      </c>
      <c r="B21" s="34" t="s">
        <v>7</v>
      </c>
      <c r="C21" s="34" t="s">
        <v>193</v>
      </c>
      <c r="D21" s="34" t="s">
        <v>131</v>
      </c>
      <c r="E21" s="33">
        <v>1451462490</v>
      </c>
      <c r="F21" s="33">
        <v>672574045</v>
      </c>
      <c r="G21" s="33">
        <v>1701832747</v>
      </c>
      <c r="H21" s="33">
        <v>2498724074</v>
      </c>
      <c r="I21" s="33">
        <v>4748780566</v>
      </c>
      <c r="Q21" s="34">
        <v>90</v>
      </c>
      <c r="R21" s="34">
        <v>29</v>
      </c>
      <c r="S21" s="34">
        <v>75</v>
      </c>
      <c r="T21" s="34">
        <v>87</v>
      </c>
      <c r="U21" s="34">
        <v>112</v>
      </c>
      <c r="AC21" s="34">
        <v>94</v>
      </c>
      <c r="AD21" s="34">
        <v>32</v>
      </c>
      <c r="AE21" s="34">
        <v>83</v>
      </c>
      <c r="AF21" s="34">
        <v>84</v>
      </c>
      <c r="AG21" s="34">
        <v>129</v>
      </c>
      <c r="AO21" s="34">
        <v>378</v>
      </c>
      <c r="AP21" s="34">
        <v>150</v>
      </c>
      <c r="AQ21" s="34">
        <v>276</v>
      </c>
      <c r="AR21" s="34">
        <v>268</v>
      </c>
      <c r="AS21" s="34">
        <v>343</v>
      </c>
      <c r="BA21" s="34">
        <v>0.24867724869999999</v>
      </c>
      <c r="BB21" s="34">
        <v>0.21333333330000001</v>
      </c>
      <c r="BC21" s="34">
        <v>0.30072463770000002</v>
      </c>
      <c r="BD21" s="34">
        <v>0.31343283579999998</v>
      </c>
      <c r="BE21" s="34">
        <v>0.37609329450000001</v>
      </c>
    </row>
    <row r="22" spans="1:57" ht="14.25" customHeight="1">
      <c r="A22" s="33">
        <v>202305</v>
      </c>
      <c r="B22" s="34" t="s">
        <v>12</v>
      </c>
      <c r="C22" s="34" t="s">
        <v>194</v>
      </c>
      <c r="D22" s="34" t="s">
        <v>114</v>
      </c>
      <c r="E22" s="33">
        <v>996845182</v>
      </c>
      <c r="F22" s="33">
        <v>696809175</v>
      </c>
      <c r="G22" s="33">
        <v>1103749915</v>
      </c>
      <c r="H22" s="33">
        <v>1013440952</v>
      </c>
      <c r="I22" s="33">
        <v>2295364982</v>
      </c>
      <c r="Q22" s="34">
        <v>78</v>
      </c>
      <c r="R22" s="34">
        <v>59</v>
      </c>
      <c r="S22" s="34">
        <v>85</v>
      </c>
      <c r="T22" s="34">
        <v>48</v>
      </c>
      <c r="U22" s="34">
        <v>105</v>
      </c>
      <c r="AC22" s="34">
        <v>94</v>
      </c>
      <c r="AD22" s="34">
        <v>54</v>
      </c>
      <c r="AE22" s="34">
        <v>82</v>
      </c>
      <c r="AF22" s="34">
        <v>34</v>
      </c>
      <c r="AG22" s="34">
        <v>112</v>
      </c>
      <c r="AO22" s="34">
        <v>215</v>
      </c>
      <c r="AP22" s="34">
        <v>111</v>
      </c>
      <c r="AQ22" s="34">
        <v>237</v>
      </c>
      <c r="AR22" s="34">
        <v>87</v>
      </c>
      <c r="AS22" s="34">
        <v>222</v>
      </c>
      <c r="BA22" s="34">
        <v>0.43720930229999999</v>
      </c>
      <c r="BB22" s="34">
        <v>0.48648648649999998</v>
      </c>
      <c r="BC22" s="34">
        <v>0.34599156120000002</v>
      </c>
      <c r="BD22" s="34">
        <v>0.39080459769999998</v>
      </c>
      <c r="BE22" s="34">
        <v>0.50450450449999995</v>
      </c>
    </row>
    <row r="23" spans="1:57" ht="14.25" customHeight="1">
      <c r="A23" s="33">
        <v>202305</v>
      </c>
      <c r="B23" s="34" t="s">
        <v>75</v>
      </c>
      <c r="C23" s="34" t="s">
        <v>195</v>
      </c>
      <c r="D23" s="34" t="s">
        <v>122</v>
      </c>
      <c r="E23" s="33">
        <v>1053075838</v>
      </c>
      <c r="F23" s="33">
        <v>235753905</v>
      </c>
      <c r="G23" s="33">
        <v>1179342310</v>
      </c>
      <c r="H23" s="33">
        <v>1213548031</v>
      </c>
      <c r="I23" s="33">
        <v>4705069439</v>
      </c>
      <c r="Q23" s="34">
        <v>79</v>
      </c>
      <c r="R23" s="34">
        <v>21</v>
      </c>
      <c r="S23" s="34">
        <v>83</v>
      </c>
      <c r="T23" s="34">
        <v>65</v>
      </c>
      <c r="U23" s="34">
        <v>107</v>
      </c>
      <c r="AC23" s="34">
        <v>70</v>
      </c>
      <c r="AD23" s="34">
        <v>20</v>
      </c>
      <c r="AE23" s="34">
        <v>91</v>
      </c>
      <c r="AF23" s="34">
        <v>63</v>
      </c>
      <c r="AG23" s="34">
        <v>117</v>
      </c>
      <c r="AO23" s="34">
        <v>309</v>
      </c>
      <c r="AP23" s="34">
        <v>151</v>
      </c>
      <c r="AQ23" s="34">
        <v>304</v>
      </c>
      <c r="AR23" s="34">
        <v>251</v>
      </c>
      <c r="AS23" s="34">
        <v>281</v>
      </c>
      <c r="BA23" s="34">
        <v>0.2265372168</v>
      </c>
      <c r="BB23" s="34">
        <v>0.13245033110000001</v>
      </c>
      <c r="BC23" s="34">
        <v>0.29934210529999999</v>
      </c>
      <c r="BD23" s="34">
        <v>0.25099601589999998</v>
      </c>
      <c r="BE23" s="34">
        <v>0.41637010679999997</v>
      </c>
    </row>
    <row r="24" spans="1:57" ht="14.25" customHeight="1">
      <c r="A24" s="33">
        <v>202305</v>
      </c>
      <c r="B24" s="34" t="s">
        <v>11</v>
      </c>
      <c r="C24" s="34" t="s">
        <v>196</v>
      </c>
      <c r="D24" s="34" t="s">
        <v>78</v>
      </c>
      <c r="E24" s="33">
        <v>2194079437</v>
      </c>
      <c r="F24" s="33">
        <v>849466766</v>
      </c>
      <c r="G24" s="33">
        <v>1857661983</v>
      </c>
      <c r="H24" s="33">
        <v>5520095336</v>
      </c>
      <c r="I24" s="33">
        <v>5886814824</v>
      </c>
      <c r="Q24" s="34">
        <v>248</v>
      </c>
      <c r="R24" s="34">
        <v>94</v>
      </c>
      <c r="S24" s="34">
        <v>232</v>
      </c>
      <c r="T24" s="34">
        <v>383</v>
      </c>
      <c r="U24" s="34">
        <v>325</v>
      </c>
      <c r="AC24" s="34">
        <v>202</v>
      </c>
      <c r="AD24" s="34">
        <v>123</v>
      </c>
      <c r="AE24" s="34">
        <v>288</v>
      </c>
      <c r="AF24" s="34">
        <v>346</v>
      </c>
      <c r="AG24" s="34">
        <v>335</v>
      </c>
      <c r="AO24" s="34">
        <v>572</v>
      </c>
      <c r="AP24" s="34">
        <v>266</v>
      </c>
      <c r="AQ24" s="34">
        <v>543</v>
      </c>
      <c r="AR24" s="34">
        <v>565</v>
      </c>
      <c r="AS24" s="34">
        <v>605</v>
      </c>
      <c r="BA24" s="34">
        <v>0.35314685309999999</v>
      </c>
      <c r="BB24" s="34">
        <v>0.462406015</v>
      </c>
      <c r="BC24" s="34">
        <v>0.53038674029999999</v>
      </c>
      <c r="BD24" s="34">
        <v>0.61238938050000002</v>
      </c>
      <c r="BE24" s="34">
        <v>0.55371900829999998</v>
      </c>
    </row>
    <row r="25" spans="1:57" ht="14.25" customHeight="1">
      <c r="A25" s="33">
        <v>202305</v>
      </c>
      <c r="B25" s="34" t="s">
        <v>13</v>
      </c>
      <c r="C25" s="34" t="s">
        <v>197</v>
      </c>
      <c r="D25" s="34" t="s">
        <v>125</v>
      </c>
      <c r="E25" s="33">
        <v>1289240502</v>
      </c>
      <c r="F25" s="33">
        <v>623379120</v>
      </c>
      <c r="G25" s="33">
        <v>573689183</v>
      </c>
      <c r="H25" s="33">
        <v>680997313</v>
      </c>
      <c r="I25" s="33">
        <v>1681582915</v>
      </c>
      <c r="Q25" s="34">
        <v>85</v>
      </c>
      <c r="R25" s="34">
        <v>29</v>
      </c>
      <c r="S25" s="34">
        <v>42</v>
      </c>
      <c r="T25" s="34">
        <v>47</v>
      </c>
      <c r="U25" s="34">
        <v>59</v>
      </c>
      <c r="AC25" s="34">
        <v>70</v>
      </c>
      <c r="AD25" s="34">
        <v>41</v>
      </c>
      <c r="AE25" s="34">
        <v>66</v>
      </c>
      <c r="AF25" s="34">
        <v>55</v>
      </c>
      <c r="AG25" s="34">
        <v>58</v>
      </c>
      <c r="AO25" s="34">
        <v>291</v>
      </c>
      <c r="AP25" s="34">
        <v>117</v>
      </c>
      <c r="AQ25" s="34">
        <v>225</v>
      </c>
      <c r="AR25" s="34">
        <v>179</v>
      </c>
      <c r="AS25" s="34">
        <v>156</v>
      </c>
      <c r="BA25" s="34">
        <v>0.24054982820000001</v>
      </c>
      <c r="BB25" s="34">
        <v>0.3504273504</v>
      </c>
      <c r="BC25" s="34">
        <v>0.2933333333</v>
      </c>
      <c r="BD25" s="34">
        <v>0.3072625698</v>
      </c>
      <c r="BE25" s="34">
        <v>0.37179487179999998</v>
      </c>
    </row>
    <row r="26" spans="1:57" ht="14.25" customHeight="1">
      <c r="A26" s="33">
        <v>202305</v>
      </c>
      <c r="B26" s="34" t="s">
        <v>7</v>
      </c>
      <c r="C26" s="34" t="s">
        <v>198</v>
      </c>
      <c r="D26" s="34" t="s">
        <v>129</v>
      </c>
      <c r="E26" s="33">
        <v>1140809590</v>
      </c>
      <c r="F26" s="33">
        <v>345471115</v>
      </c>
      <c r="G26" s="33">
        <v>1058382158</v>
      </c>
      <c r="H26" s="33">
        <v>1549266103</v>
      </c>
      <c r="I26" s="33">
        <v>4395544698</v>
      </c>
      <c r="Q26" s="34">
        <v>91</v>
      </c>
      <c r="R26" s="34">
        <v>29</v>
      </c>
      <c r="S26" s="34">
        <v>93</v>
      </c>
      <c r="T26" s="34">
        <v>100</v>
      </c>
      <c r="U26" s="34">
        <v>171</v>
      </c>
      <c r="AC26" s="34">
        <v>95</v>
      </c>
      <c r="AD26" s="34">
        <v>38</v>
      </c>
      <c r="AE26" s="34">
        <v>73</v>
      </c>
      <c r="AF26" s="34">
        <v>115</v>
      </c>
      <c r="AG26" s="34">
        <v>157</v>
      </c>
      <c r="AO26" s="34">
        <v>306</v>
      </c>
      <c r="AP26" s="34">
        <v>133</v>
      </c>
      <c r="AQ26" s="34">
        <v>270</v>
      </c>
      <c r="AR26" s="34">
        <v>327</v>
      </c>
      <c r="AS26" s="34">
        <v>356</v>
      </c>
      <c r="BA26" s="34">
        <v>0.31045751630000001</v>
      </c>
      <c r="BB26" s="34">
        <v>0.28571428570000001</v>
      </c>
      <c r="BC26" s="34">
        <v>0.2703703704</v>
      </c>
      <c r="BD26" s="34">
        <v>0.35168195720000001</v>
      </c>
      <c r="BE26" s="34">
        <v>0.44101123599999997</v>
      </c>
    </row>
    <row r="27" spans="1:57" ht="14.25" customHeight="1">
      <c r="A27" s="33">
        <v>202305</v>
      </c>
      <c r="B27" s="34" t="s">
        <v>7</v>
      </c>
      <c r="C27" s="34" t="s">
        <v>199</v>
      </c>
      <c r="D27" s="34" t="s">
        <v>134</v>
      </c>
      <c r="E27" s="33">
        <v>1339401678</v>
      </c>
      <c r="F27" s="33">
        <v>301592600</v>
      </c>
      <c r="G27" s="33">
        <v>839362063</v>
      </c>
      <c r="H27" s="33">
        <v>1638586397</v>
      </c>
      <c r="I27" s="33">
        <v>3716475102</v>
      </c>
      <c r="Q27" s="34">
        <v>94</v>
      </c>
      <c r="R27" s="34">
        <v>23</v>
      </c>
      <c r="S27" s="34">
        <v>63</v>
      </c>
      <c r="T27" s="34">
        <v>71</v>
      </c>
      <c r="U27" s="34">
        <v>111</v>
      </c>
      <c r="AC27" s="34">
        <v>75</v>
      </c>
      <c r="AD27" s="34">
        <v>30</v>
      </c>
      <c r="AE27" s="34">
        <v>50</v>
      </c>
      <c r="AF27" s="34">
        <v>66</v>
      </c>
      <c r="AG27" s="34">
        <v>106</v>
      </c>
      <c r="AO27" s="34">
        <v>320</v>
      </c>
      <c r="AP27" s="34">
        <v>104</v>
      </c>
      <c r="AQ27" s="34">
        <v>241</v>
      </c>
      <c r="AR27" s="34">
        <v>219</v>
      </c>
      <c r="AS27" s="34">
        <v>285</v>
      </c>
      <c r="BA27" s="34">
        <v>0.234375</v>
      </c>
      <c r="BB27" s="34">
        <v>0.2884615385</v>
      </c>
      <c r="BC27" s="34">
        <v>0.2074688797</v>
      </c>
      <c r="BD27" s="34">
        <v>0.30136986300000002</v>
      </c>
      <c r="BE27" s="34">
        <v>0.37192982460000001</v>
      </c>
    </row>
    <row r="28" spans="1:57" ht="14.25" customHeight="1">
      <c r="A28" s="33">
        <v>202305</v>
      </c>
      <c r="B28" s="34" t="s">
        <v>12</v>
      </c>
      <c r="C28" s="34" t="s">
        <v>200</v>
      </c>
      <c r="D28" s="34" t="s">
        <v>120</v>
      </c>
      <c r="E28" s="33">
        <v>1078861144</v>
      </c>
      <c r="F28" s="33">
        <v>678582638</v>
      </c>
      <c r="G28" s="33">
        <v>1187578870</v>
      </c>
      <c r="H28" s="33">
        <v>2500117676</v>
      </c>
      <c r="I28" s="33">
        <v>3505544833</v>
      </c>
      <c r="Q28" s="34">
        <v>92</v>
      </c>
      <c r="R28" s="34">
        <v>54</v>
      </c>
      <c r="S28" s="34">
        <v>92</v>
      </c>
      <c r="T28" s="34">
        <v>91</v>
      </c>
      <c r="U28" s="34">
        <v>112</v>
      </c>
      <c r="AC28" s="34">
        <v>91</v>
      </c>
      <c r="AD28" s="34">
        <v>38</v>
      </c>
      <c r="AE28" s="34">
        <v>81</v>
      </c>
      <c r="AF28" s="34">
        <v>115</v>
      </c>
      <c r="AG28" s="34">
        <v>101</v>
      </c>
      <c r="AO28" s="34">
        <v>230</v>
      </c>
      <c r="AP28" s="34">
        <v>136</v>
      </c>
      <c r="AQ28" s="34">
        <v>220</v>
      </c>
      <c r="AR28" s="34">
        <v>265</v>
      </c>
      <c r="AS28" s="34">
        <v>222</v>
      </c>
      <c r="BA28" s="34">
        <v>0.39565217390000001</v>
      </c>
      <c r="BB28" s="34">
        <v>0.27941176470000001</v>
      </c>
      <c r="BC28" s="34">
        <v>0.36818181820000001</v>
      </c>
      <c r="BD28" s="34">
        <v>0.4339622642</v>
      </c>
      <c r="BE28" s="34">
        <v>0.45495495499999999</v>
      </c>
    </row>
    <row r="29" spans="1:57" ht="14.25" customHeight="1">
      <c r="A29" s="33">
        <v>202305</v>
      </c>
      <c r="B29" s="34" t="s">
        <v>75</v>
      </c>
      <c r="C29" s="34" t="s">
        <v>201</v>
      </c>
      <c r="D29" s="34" t="s">
        <v>128</v>
      </c>
      <c r="E29" s="33">
        <v>841926848</v>
      </c>
      <c r="F29" s="33">
        <v>144588106</v>
      </c>
      <c r="G29" s="33">
        <v>452250490</v>
      </c>
      <c r="H29" s="33">
        <v>1155815359</v>
      </c>
      <c r="I29" s="33">
        <v>1251732830</v>
      </c>
      <c r="Q29" s="34">
        <v>60</v>
      </c>
      <c r="R29" s="34">
        <v>9</v>
      </c>
      <c r="S29" s="34">
        <v>33</v>
      </c>
      <c r="T29" s="34">
        <v>53</v>
      </c>
      <c r="U29" s="34">
        <v>60</v>
      </c>
      <c r="AC29" s="34">
        <v>64</v>
      </c>
      <c r="AD29" s="34">
        <v>13</v>
      </c>
      <c r="AE29" s="34">
        <v>42</v>
      </c>
      <c r="AF29" s="34">
        <v>67</v>
      </c>
      <c r="AG29" s="34">
        <v>50</v>
      </c>
      <c r="AO29" s="34">
        <v>307</v>
      </c>
      <c r="AP29" s="34">
        <v>107</v>
      </c>
      <c r="AQ29" s="34">
        <v>270</v>
      </c>
      <c r="AR29" s="34">
        <v>197</v>
      </c>
      <c r="AS29" s="34">
        <v>167</v>
      </c>
      <c r="BA29" s="34">
        <v>0.20846905539999999</v>
      </c>
      <c r="BB29" s="34">
        <v>0.12149532709999999</v>
      </c>
      <c r="BC29" s="34">
        <v>0.15555555560000001</v>
      </c>
      <c r="BD29" s="34">
        <v>0.3401015228</v>
      </c>
      <c r="BE29" s="34">
        <v>0.2994011976</v>
      </c>
    </row>
    <row r="30" spans="1:57" ht="14.25" customHeight="1">
      <c r="A30" s="33">
        <v>202305</v>
      </c>
      <c r="B30" s="34" t="s">
        <v>75</v>
      </c>
      <c r="C30" s="34" t="s">
        <v>202</v>
      </c>
      <c r="D30" s="34" t="s">
        <v>79</v>
      </c>
      <c r="E30" s="33">
        <v>2672586700</v>
      </c>
      <c r="F30" s="33">
        <v>1503098118</v>
      </c>
      <c r="G30" s="33">
        <v>3650677740</v>
      </c>
      <c r="H30" s="33">
        <v>5670032067</v>
      </c>
      <c r="I30" s="33">
        <v>5636805292</v>
      </c>
      <c r="Q30" s="34">
        <v>195</v>
      </c>
      <c r="R30" s="34">
        <v>58</v>
      </c>
      <c r="S30" s="34">
        <v>120</v>
      </c>
      <c r="T30" s="34">
        <v>173</v>
      </c>
      <c r="U30" s="34">
        <v>169</v>
      </c>
      <c r="AC30" s="34">
        <v>204</v>
      </c>
      <c r="AD30" s="34">
        <v>80</v>
      </c>
      <c r="AE30" s="34">
        <v>109</v>
      </c>
      <c r="AF30" s="34">
        <v>150</v>
      </c>
      <c r="AG30" s="34">
        <v>221</v>
      </c>
      <c r="AO30" s="34">
        <v>546</v>
      </c>
      <c r="AP30" s="34">
        <v>150</v>
      </c>
      <c r="AQ30" s="34">
        <v>288</v>
      </c>
      <c r="AR30" s="34">
        <v>330</v>
      </c>
      <c r="AS30" s="34">
        <v>395</v>
      </c>
      <c r="BA30" s="34">
        <v>0.37362637360000001</v>
      </c>
      <c r="BB30" s="34">
        <v>0.53333333329999999</v>
      </c>
      <c r="BC30" s="34">
        <v>0.37847222219999999</v>
      </c>
      <c r="BD30" s="34">
        <v>0.4545454545</v>
      </c>
      <c r="BE30" s="34">
        <v>0.55949367090000002</v>
      </c>
    </row>
    <row r="31" spans="1:57" ht="14.25" customHeight="1">
      <c r="A31" s="33">
        <v>202305</v>
      </c>
      <c r="B31" s="34" t="s">
        <v>7</v>
      </c>
      <c r="C31" s="34" t="s">
        <v>203</v>
      </c>
      <c r="D31" s="34" t="s">
        <v>111</v>
      </c>
      <c r="E31" s="33">
        <v>1407425010</v>
      </c>
      <c r="F31" s="33">
        <v>837112674</v>
      </c>
      <c r="G31" s="33">
        <v>873868081</v>
      </c>
      <c r="H31" s="33">
        <v>1318475445</v>
      </c>
      <c r="I31" s="33">
        <v>2850255494</v>
      </c>
      <c r="Q31" s="34">
        <v>94</v>
      </c>
      <c r="R31" s="34">
        <v>49</v>
      </c>
      <c r="S31" s="34">
        <v>64</v>
      </c>
      <c r="T31" s="34">
        <v>67</v>
      </c>
      <c r="U31" s="34">
        <v>107</v>
      </c>
      <c r="AC31" s="34">
        <v>111</v>
      </c>
      <c r="AD31" s="34">
        <v>46</v>
      </c>
      <c r="AE31" s="34">
        <v>62</v>
      </c>
      <c r="AF31" s="34">
        <v>76</v>
      </c>
      <c r="AG31" s="34">
        <v>101</v>
      </c>
      <c r="AO31" s="34">
        <v>227</v>
      </c>
      <c r="AP31" s="34">
        <v>107</v>
      </c>
      <c r="AQ31" s="34">
        <v>140</v>
      </c>
      <c r="AR31" s="34">
        <v>151</v>
      </c>
      <c r="AS31" s="34">
        <v>219</v>
      </c>
      <c r="BA31" s="34">
        <v>0.48898678410000002</v>
      </c>
      <c r="BB31" s="34">
        <v>0.42990654210000001</v>
      </c>
      <c r="BC31" s="34">
        <v>0.4428571429</v>
      </c>
      <c r="BD31" s="34">
        <v>0.50331125830000001</v>
      </c>
      <c r="BE31" s="34">
        <v>0.46118721460000001</v>
      </c>
    </row>
    <row r="32" spans="1:57" ht="14.25" customHeight="1">
      <c r="A32" s="33">
        <v>202305</v>
      </c>
      <c r="B32" s="34" t="s">
        <v>11</v>
      </c>
      <c r="C32" s="34" t="s">
        <v>204</v>
      </c>
      <c r="D32" s="34" t="s">
        <v>83</v>
      </c>
      <c r="E32" s="33">
        <v>1685736484</v>
      </c>
      <c r="F32" s="33">
        <v>881899903</v>
      </c>
      <c r="G32" s="33">
        <v>1860929251</v>
      </c>
      <c r="H32" s="33">
        <v>5187730218</v>
      </c>
      <c r="I32" s="33">
        <v>4292075179</v>
      </c>
      <c r="Q32" s="34">
        <v>177</v>
      </c>
      <c r="R32" s="34">
        <v>103</v>
      </c>
      <c r="S32" s="34">
        <v>259</v>
      </c>
      <c r="T32" s="34">
        <v>268</v>
      </c>
      <c r="U32" s="34">
        <v>266</v>
      </c>
      <c r="AC32" s="34">
        <v>163</v>
      </c>
      <c r="AD32" s="34">
        <v>115</v>
      </c>
      <c r="AE32" s="34">
        <v>218</v>
      </c>
      <c r="AF32" s="34">
        <v>286</v>
      </c>
      <c r="AG32" s="34">
        <v>242</v>
      </c>
      <c r="AO32" s="34">
        <v>452</v>
      </c>
      <c r="AP32" s="34">
        <v>270</v>
      </c>
      <c r="AQ32" s="34">
        <v>481</v>
      </c>
      <c r="AR32" s="34">
        <v>450</v>
      </c>
      <c r="AS32" s="34">
        <v>365</v>
      </c>
      <c r="BA32" s="34">
        <v>0.36061946900000003</v>
      </c>
      <c r="BB32" s="34">
        <v>0.4259259259</v>
      </c>
      <c r="BC32" s="34">
        <v>0.45322245319999999</v>
      </c>
      <c r="BD32" s="34">
        <v>0.63555555559999999</v>
      </c>
      <c r="BE32" s="34">
        <v>0.66301369860000003</v>
      </c>
    </row>
    <row r="33" spans="1:57" ht="14.25" customHeight="1">
      <c r="A33" s="33">
        <v>202305</v>
      </c>
      <c r="B33" s="34" t="s">
        <v>13</v>
      </c>
      <c r="C33" s="34" t="s">
        <v>205</v>
      </c>
      <c r="D33" s="34" t="s">
        <v>146</v>
      </c>
      <c r="E33" s="33">
        <v>587634792</v>
      </c>
      <c r="F33" s="33">
        <v>147587839</v>
      </c>
      <c r="G33" s="33">
        <v>490508523</v>
      </c>
      <c r="H33" s="33">
        <v>739635946</v>
      </c>
      <c r="I33" s="33">
        <v>2007872557</v>
      </c>
      <c r="Q33" s="34">
        <v>50</v>
      </c>
      <c r="R33" s="34">
        <v>16</v>
      </c>
      <c r="S33" s="34">
        <v>39</v>
      </c>
      <c r="T33" s="34">
        <v>34</v>
      </c>
      <c r="U33" s="34">
        <v>34</v>
      </c>
      <c r="AC33" s="34">
        <v>48</v>
      </c>
      <c r="AD33" s="34">
        <v>19</v>
      </c>
      <c r="AE33" s="34">
        <v>44</v>
      </c>
      <c r="AF33" s="34">
        <v>38</v>
      </c>
      <c r="AG33" s="34">
        <v>39</v>
      </c>
      <c r="AO33" s="34">
        <v>156</v>
      </c>
      <c r="AP33" s="34">
        <v>60</v>
      </c>
      <c r="AQ33" s="34">
        <v>138</v>
      </c>
      <c r="AR33" s="34">
        <v>109</v>
      </c>
      <c r="AS33" s="34">
        <v>123</v>
      </c>
      <c r="BA33" s="34">
        <v>0.3076923077</v>
      </c>
      <c r="BB33" s="34">
        <v>0.31666666669999999</v>
      </c>
      <c r="BC33" s="34">
        <v>0.31884057970000002</v>
      </c>
      <c r="BD33" s="34">
        <v>0.3486238532</v>
      </c>
      <c r="BE33" s="34">
        <v>0.31707317070000002</v>
      </c>
    </row>
    <row r="34" spans="1:57" ht="14.25" customHeight="1">
      <c r="A34" s="33">
        <v>202305</v>
      </c>
      <c r="B34" s="34" t="s">
        <v>75</v>
      </c>
      <c r="C34" s="34" t="s">
        <v>206</v>
      </c>
      <c r="D34" s="34" t="s">
        <v>127</v>
      </c>
      <c r="E34" s="33">
        <v>600384709</v>
      </c>
      <c r="F34" s="33">
        <v>224217208</v>
      </c>
      <c r="G34" s="33">
        <v>1029051910</v>
      </c>
      <c r="H34" s="33">
        <v>2191982982</v>
      </c>
      <c r="I34" s="33">
        <v>4399749409</v>
      </c>
      <c r="Q34" s="34">
        <v>47</v>
      </c>
      <c r="R34" s="34">
        <v>13</v>
      </c>
      <c r="S34" s="34">
        <v>67</v>
      </c>
      <c r="T34" s="34">
        <v>79</v>
      </c>
      <c r="U34" s="34">
        <v>96</v>
      </c>
      <c r="AC34" s="34">
        <v>49</v>
      </c>
      <c r="AD34" s="34">
        <v>35</v>
      </c>
      <c r="AE34" s="34">
        <v>69</v>
      </c>
      <c r="AF34" s="34">
        <v>67</v>
      </c>
      <c r="AG34" s="34">
        <v>115</v>
      </c>
      <c r="AO34" s="34">
        <v>208</v>
      </c>
      <c r="AP34" s="34">
        <v>124</v>
      </c>
      <c r="AQ34" s="34">
        <v>248</v>
      </c>
      <c r="AR34" s="34">
        <v>203</v>
      </c>
      <c r="AS34" s="34">
        <v>223</v>
      </c>
      <c r="BA34" s="34">
        <v>0.2355769231</v>
      </c>
      <c r="BB34" s="34">
        <v>0.28225806450000002</v>
      </c>
      <c r="BC34" s="34">
        <v>0.27822580650000001</v>
      </c>
      <c r="BD34" s="34">
        <v>0.33004926109999999</v>
      </c>
      <c r="BE34" s="34">
        <v>0.51569506730000003</v>
      </c>
    </row>
    <row r="35" spans="1:57" ht="14.25" customHeight="1">
      <c r="A35" s="33">
        <v>202305</v>
      </c>
      <c r="B35" s="34" t="s">
        <v>75</v>
      </c>
      <c r="C35" s="34" t="s">
        <v>207</v>
      </c>
      <c r="D35" s="34" t="s">
        <v>89</v>
      </c>
      <c r="E35" s="33">
        <v>1173490337</v>
      </c>
      <c r="F35" s="33">
        <v>1120591686</v>
      </c>
      <c r="G35" s="33">
        <v>1714809908</v>
      </c>
      <c r="H35" s="33">
        <v>2664777390</v>
      </c>
      <c r="I35" s="33">
        <v>6800745301</v>
      </c>
      <c r="Q35" s="34">
        <v>112</v>
      </c>
      <c r="R35" s="34">
        <v>71</v>
      </c>
      <c r="S35" s="34">
        <v>145</v>
      </c>
      <c r="T35" s="34">
        <v>188</v>
      </c>
      <c r="U35" s="34">
        <v>232</v>
      </c>
      <c r="AC35" s="34">
        <v>124</v>
      </c>
      <c r="AD35" s="34">
        <v>71</v>
      </c>
      <c r="AE35" s="34">
        <v>141</v>
      </c>
      <c r="AF35" s="34">
        <v>192</v>
      </c>
      <c r="AG35" s="34">
        <v>235</v>
      </c>
      <c r="AO35" s="34">
        <v>312</v>
      </c>
      <c r="AP35" s="34">
        <v>142</v>
      </c>
      <c r="AQ35" s="34">
        <v>269</v>
      </c>
      <c r="AR35" s="34">
        <v>282</v>
      </c>
      <c r="AS35" s="34">
        <v>347</v>
      </c>
      <c r="BA35" s="34">
        <v>0.39743589740000002</v>
      </c>
      <c r="BB35" s="34">
        <v>0.5</v>
      </c>
      <c r="BC35" s="34">
        <v>0.52416356880000003</v>
      </c>
      <c r="BD35" s="34">
        <v>0.68085106380000004</v>
      </c>
      <c r="BE35" s="34">
        <v>0.67723342939999998</v>
      </c>
    </row>
    <row r="36" spans="1:57" ht="14.25" customHeight="1">
      <c r="A36" s="33">
        <v>202305</v>
      </c>
      <c r="B36" s="34" t="s">
        <v>75</v>
      </c>
      <c r="C36" s="34" t="s">
        <v>208</v>
      </c>
      <c r="D36" s="34" t="s">
        <v>97</v>
      </c>
      <c r="E36" s="33">
        <v>1787610374</v>
      </c>
      <c r="F36" s="33">
        <v>656495146</v>
      </c>
      <c r="G36" s="33">
        <v>1047172813</v>
      </c>
      <c r="H36" s="33">
        <v>1765269262</v>
      </c>
      <c r="I36" s="33">
        <v>2276821148</v>
      </c>
      <c r="Q36" s="34">
        <v>136</v>
      </c>
      <c r="R36" s="34">
        <v>45</v>
      </c>
      <c r="S36" s="34">
        <v>63</v>
      </c>
      <c r="T36" s="34">
        <v>98</v>
      </c>
      <c r="U36" s="34">
        <v>111</v>
      </c>
      <c r="AC36" s="34">
        <v>117</v>
      </c>
      <c r="AD36" s="34">
        <v>51</v>
      </c>
      <c r="AE36" s="34">
        <v>70</v>
      </c>
      <c r="AF36" s="34">
        <v>88</v>
      </c>
      <c r="AG36" s="34">
        <v>114</v>
      </c>
      <c r="AO36" s="34">
        <v>348</v>
      </c>
      <c r="AP36" s="34">
        <v>140</v>
      </c>
      <c r="AQ36" s="34">
        <v>281</v>
      </c>
      <c r="AR36" s="34">
        <v>298</v>
      </c>
      <c r="AS36" s="34">
        <v>292</v>
      </c>
      <c r="BA36" s="34">
        <v>0.33620689660000003</v>
      </c>
      <c r="BB36" s="34">
        <v>0.36428571430000001</v>
      </c>
      <c r="BC36" s="34">
        <v>0.24911032029999999</v>
      </c>
      <c r="BD36" s="34">
        <v>0.29530201340000001</v>
      </c>
      <c r="BE36" s="34">
        <v>0.39041095889999999</v>
      </c>
    </row>
    <row r="37" spans="1:57" ht="14.25" customHeight="1">
      <c r="A37" s="33">
        <v>202305</v>
      </c>
      <c r="B37" s="34" t="s">
        <v>12</v>
      </c>
      <c r="C37" s="34" t="s">
        <v>209</v>
      </c>
      <c r="D37" s="34" t="s">
        <v>145</v>
      </c>
      <c r="E37" s="33">
        <v>619203566</v>
      </c>
      <c r="F37" s="33">
        <v>531258278</v>
      </c>
      <c r="G37" s="33">
        <v>809038864</v>
      </c>
      <c r="H37" s="33">
        <v>2643884592</v>
      </c>
      <c r="I37" s="33">
        <v>3755539561</v>
      </c>
      <c r="Q37" s="34">
        <v>56</v>
      </c>
      <c r="R37" s="34">
        <v>29</v>
      </c>
      <c r="S37" s="34">
        <v>62</v>
      </c>
      <c r="T37" s="34">
        <v>119</v>
      </c>
      <c r="U37" s="34">
        <v>129</v>
      </c>
      <c r="AC37" s="34">
        <v>51</v>
      </c>
      <c r="AD37" s="34">
        <v>27</v>
      </c>
      <c r="AE37" s="34">
        <v>76</v>
      </c>
      <c r="AF37" s="34">
        <v>143</v>
      </c>
      <c r="AG37" s="34">
        <v>149</v>
      </c>
      <c r="AO37" s="34">
        <v>201</v>
      </c>
      <c r="AP37" s="34">
        <v>120</v>
      </c>
      <c r="AQ37" s="34">
        <v>298</v>
      </c>
      <c r="AR37" s="34">
        <v>383</v>
      </c>
      <c r="AS37" s="34">
        <v>380</v>
      </c>
      <c r="BA37" s="34">
        <v>0.25373134330000002</v>
      </c>
      <c r="BB37" s="34">
        <v>0.22500000000000001</v>
      </c>
      <c r="BC37" s="34">
        <v>0.25503355700000002</v>
      </c>
      <c r="BD37" s="34">
        <v>0.37336814619999997</v>
      </c>
      <c r="BE37" s="34">
        <v>0.3921052632</v>
      </c>
    </row>
    <row r="38" spans="1:57" ht="14.25" customHeight="1">
      <c r="A38" s="33">
        <v>202305</v>
      </c>
      <c r="B38" s="34" t="s">
        <v>7</v>
      </c>
      <c r="C38" s="34" t="s">
        <v>210</v>
      </c>
      <c r="D38" s="34" t="s">
        <v>153</v>
      </c>
      <c r="E38" s="33">
        <v>602781788</v>
      </c>
      <c r="F38" s="33">
        <v>191523700</v>
      </c>
      <c r="G38" s="33">
        <v>574836833</v>
      </c>
      <c r="H38" s="33">
        <v>830775786</v>
      </c>
      <c r="I38" s="33">
        <v>0</v>
      </c>
      <c r="Q38" s="34">
        <v>39</v>
      </c>
      <c r="R38" s="34">
        <v>14</v>
      </c>
      <c r="S38" s="34">
        <v>39</v>
      </c>
      <c r="T38" s="34">
        <v>32</v>
      </c>
      <c r="U38" s="34">
        <v>0</v>
      </c>
      <c r="AC38" s="34">
        <v>37</v>
      </c>
      <c r="AD38" s="34">
        <v>12</v>
      </c>
      <c r="AE38" s="34">
        <v>48</v>
      </c>
      <c r="AF38" s="34">
        <v>41</v>
      </c>
      <c r="AG38" s="34">
        <v>0</v>
      </c>
      <c r="AO38" s="34">
        <v>127</v>
      </c>
      <c r="AP38" s="34">
        <v>74</v>
      </c>
      <c r="AQ38" s="34">
        <v>134</v>
      </c>
      <c r="AR38" s="34">
        <v>139</v>
      </c>
      <c r="AS38" s="34">
        <v>0</v>
      </c>
      <c r="BA38" s="34">
        <v>0.29133858270000002</v>
      </c>
      <c r="BB38" s="34">
        <v>0.16216216219999999</v>
      </c>
      <c r="BC38" s="34">
        <v>0.35820895520000001</v>
      </c>
      <c r="BD38" s="34">
        <v>0.2949640288</v>
      </c>
      <c r="BE38" s="34">
        <v>0</v>
      </c>
    </row>
    <row r="39" spans="1:57" ht="14.25" customHeight="1">
      <c r="A39" s="33">
        <v>202305</v>
      </c>
      <c r="B39" s="34" t="s">
        <v>13</v>
      </c>
      <c r="C39" s="34" t="s">
        <v>211</v>
      </c>
      <c r="D39" s="34" t="s">
        <v>144</v>
      </c>
      <c r="E39" s="33">
        <v>515621702</v>
      </c>
      <c r="F39" s="33">
        <v>278525212</v>
      </c>
      <c r="G39" s="33">
        <v>628484095</v>
      </c>
      <c r="H39" s="33">
        <v>1377508939</v>
      </c>
      <c r="I39" s="33">
        <v>4801117745</v>
      </c>
      <c r="Q39" s="34">
        <v>51</v>
      </c>
      <c r="R39" s="34">
        <v>42</v>
      </c>
      <c r="S39" s="34">
        <v>63</v>
      </c>
      <c r="T39" s="34">
        <v>84</v>
      </c>
      <c r="U39" s="34">
        <v>119</v>
      </c>
      <c r="AC39" s="34">
        <v>37</v>
      </c>
      <c r="AD39" s="34">
        <v>37</v>
      </c>
      <c r="AE39" s="34">
        <v>75</v>
      </c>
      <c r="AF39" s="34">
        <v>124</v>
      </c>
      <c r="AG39" s="34">
        <v>149</v>
      </c>
      <c r="AO39" s="34">
        <v>141</v>
      </c>
      <c r="AP39" s="34">
        <v>105</v>
      </c>
      <c r="AQ39" s="34">
        <v>253</v>
      </c>
      <c r="AR39" s="34">
        <v>292</v>
      </c>
      <c r="AS39" s="34">
        <v>299</v>
      </c>
      <c r="BA39" s="34">
        <v>0.2624113475</v>
      </c>
      <c r="BB39" s="34">
        <v>0.3523809524</v>
      </c>
      <c r="BC39" s="34">
        <v>0.29644268769999998</v>
      </c>
      <c r="BD39" s="34">
        <v>0.42465753420000002</v>
      </c>
      <c r="BE39" s="34">
        <v>0.4983277592</v>
      </c>
    </row>
    <row r="40" spans="1:57" ht="14.25" customHeight="1">
      <c r="A40" s="33">
        <v>202305</v>
      </c>
      <c r="B40" s="34" t="s">
        <v>75</v>
      </c>
      <c r="C40" s="34" t="s">
        <v>212</v>
      </c>
      <c r="D40" s="34" t="s">
        <v>119</v>
      </c>
      <c r="E40" s="33">
        <v>882390370</v>
      </c>
      <c r="F40" s="33">
        <v>295796706</v>
      </c>
      <c r="G40" s="33">
        <v>654386834</v>
      </c>
      <c r="H40" s="33">
        <v>2011766943</v>
      </c>
      <c r="I40" s="33">
        <v>4000037001</v>
      </c>
      <c r="Q40" s="34">
        <v>72</v>
      </c>
      <c r="R40" s="34">
        <v>31</v>
      </c>
      <c r="S40" s="34">
        <v>50</v>
      </c>
      <c r="T40" s="34">
        <v>82</v>
      </c>
      <c r="U40" s="34">
        <v>91</v>
      </c>
      <c r="AC40" s="34">
        <v>64</v>
      </c>
      <c r="AD40" s="34">
        <v>24</v>
      </c>
      <c r="AE40" s="34">
        <v>52</v>
      </c>
      <c r="AF40" s="34">
        <v>92</v>
      </c>
      <c r="AG40" s="34">
        <v>123</v>
      </c>
      <c r="AO40" s="34">
        <v>204</v>
      </c>
      <c r="AP40" s="34">
        <v>151</v>
      </c>
      <c r="AQ40" s="34">
        <v>192</v>
      </c>
      <c r="AR40" s="34">
        <v>205</v>
      </c>
      <c r="AS40" s="34">
        <v>249</v>
      </c>
      <c r="BA40" s="34">
        <v>0.31372549020000001</v>
      </c>
      <c r="BB40" s="34">
        <v>0.15894039739999999</v>
      </c>
      <c r="BC40" s="34">
        <v>0.27083333329999998</v>
      </c>
      <c r="BD40" s="34">
        <v>0.44878048780000002</v>
      </c>
      <c r="BE40" s="34">
        <v>0.49397590359999999</v>
      </c>
    </row>
    <row r="41" spans="1:57" ht="14.25" customHeight="1">
      <c r="A41" s="33">
        <v>202305</v>
      </c>
      <c r="B41" s="34" t="s">
        <v>11</v>
      </c>
      <c r="C41" s="34" t="s">
        <v>213</v>
      </c>
      <c r="D41" s="34" t="s">
        <v>91</v>
      </c>
      <c r="E41" s="33">
        <v>928306707</v>
      </c>
      <c r="F41" s="33">
        <v>320078776</v>
      </c>
      <c r="G41" s="33">
        <v>848089502</v>
      </c>
      <c r="H41" s="33">
        <v>3685856289</v>
      </c>
      <c r="I41" s="33">
        <v>5454905251</v>
      </c>
      <c r="Q41" s="34">
        <v>134</v>
      </c>
      <c r="R41" s="34">
        <v>31</v>
      </c>
      <c r="S41" s="34">
        <v>95</v>
      </c>
      <c r="T41" s="34">
        <v>157</v>
      </c>
      <c r="U41" s="34">
        <v>156</v>
      </c>
      <c r="AC41" s="34">
        <v>112</v>
      </c>
      <c r="AD41" s="34">
        <v>37</v>
      </c>
      <c r="AE41" s="34">
        <v>122</v>
      </c>
      <c r="AF41" s="34">
        <v>165</v>
      </c>
      <c r="AG41" s="34">
        <v>195</v>
      </c>
      <c r="AO41" s="34">
        <v>206</v>
      </c>
      <c r="AP41" s="34">
        <v>61</v>
      </c>
      <c r="AQ41" s="34">
        <v>263</v>
      </c>
      <c r="AR41" s="34">
        <v>285</v>
      </c>
      <c r="AS41" s="34">
        <v>315</v>
      </c>
      <c r="BA41" s="34">
        <v>0.54368932039999995</v>
      </c>
      <c r="BB41" s="34">
        <v>0.60655737700000001</v>
      </c>
      <c r="BC41" s="34">
        <v>0.46387832699999998</v>
      </c>
      <c r="BD41" s="34">
        <v>0.57894736840000005</v>
      </c>
      <c r="BE41" s="34">
        <v>0.61904761900000005</v>
      </c>
    </row>
    <row r="42" spans="1:57" ht="14.25" customHeight="1">
      <c r="A42" s="33">
        <v>202305</v>
      </c>
      <c r="B42" s="34" t="s">
        <v>12</v>
      </c>
      <c r="C42" s="34" t="s">
        <v>214</v>
      </c>
      <c r="D42" s="34" t="s">
        <v>138</v>
      </c>
      <c r="E42" s="33">
        <v>630569766</v>
      </c>
      <c r="F42" s="33">
        <v>321297041</v>
      </c>
      <c r="G42" s="33">
        <v>1497840073</v>
      </c>
      <c r="H42" s="33">
        <v>2589905148</v>
      </c>
      <c r="I42" s="33">
        <v>5100297870</v>
      </c>
      <c r="Q42" s="34">
        <v>56</v>
      </c>
      <c r="R42" s="34">
        <v>22</v>
      </c>
      <c r="S42" s="34">
        <v>109</v>
      </c>
      <c r="T42" s="34">
        <v>102</v>
      </c>
      <c r="U42" s="34">
        <v>149</v>
      </c>
      <c r="AC42" s="34">
        <v>27</v>
      </c>
      <c r="AD42" s="34">
        <v>33</v>
      </c>
      <c r="AE42" s="34">
        <v>120</v>
      </c>
      <c r="AF42" s="34">
        <v>145</v>
      </c>
      <c r="AG42" s="34">
        <v>156</v>
      </c>
      <c r="AO42" s="34">
        <v>78</v>
      </c>
      <c r="AP42" s="34">
        <v>82</v>
      </c>
      <c r="AQ42" s="34">
        <v>362</v>
      </c>
      <c r="AR42" s="34">
        <v>337</v>
      </c>
      <c r="AS42" s="34">
        <v>407</v>
      </c>
      <c r="BA42" s="34">
        <v>0.3461538462</v>
      </c>
      <c r="BB42" s="34">
        <v>0.40243902440000001</v>
      </c>
      <c r="BC42" s="34">
        <v>0.3314917127</v>
      </c>
      <c r="BD42" s="34">
        <v>0.4302670623</v>
      </c>
      <c r="BE42" s="34">
        <v>0.38329238329999998</v>
      </c>
    </row>
    <row r="43" spans="1:57" ht="14.25" customHeight="1">
      <c r="A43" s="33">
        <v>202305</v>
      </c>
      <c r="B43" s="34" t="s">
        <v>13</v>
      </c>
      <c r="C43" s="34" t="s">
        <v>215</v>
      </c>
      <c r="D43" s="40" t="s">
        <v>149</v>
      </c>
      <c r="E43" s="33">
        <v>462056160</v>
      </c>
      <c r="F43" s="33">
        <v>33534711</v>
      </c>
      <c r="G43" s="33">
        <v>273713622</v>
      </c>
      <c r="H43" s="33">
        <v>1731055254</v>
      </c>
      <c r="I43" s="33">
        <v>2392500744</v>
      </c>
      <c r="Q43" s="34">
        <v>39</v>
      </c>
      <c r="R43" s="34">
        <v>7</v>
      </c>
      <c r="S43" s="34">
        <v>38</v>
      </c>
      <c r="T43" s="34">
        <v>78</v>
      </c>
      <c r="U43" s="34">
        <v>67</v>
      </c>
      <c r="AC43" s="34">
        <v>35</v>
      </c>
      <c r="AD43" s="34">
        <v>11</v>
      </c>
      <c r="AE43" s="34">
        <v>87</v>
      </c>
      <c r="AF43" s="34">
        <v>89</v>
      </c>
      <c r="AG43" s="34">
        <v>68</v>
      </c>
      <c r="AO43" s="34">
        <v>104</v>
      </c>
      <c r="AP43" s="34">
        <v>35</v>
      </c>
      <c r="AQ43" s="34">
        <v>226</v>
      </c>
      <c r="AR43" s="34">
        <v>281</v>
      </c>
      <c r="AS43" s="34">
        <v>137</v>
      </c>
      <c r="BA43" s="34">
        <v>0.3365384615</v>
      </c>
      <c r="BB43" s="34">
        <v>0.31428571430000002</v>
      </c>
      <c r="BC43" s="34">
        <v>0.3849557522</v>
      </c>
      <c r="BD43" s="34">
        <v>0.31672597860000001</v>
      </c>
      <c r="BE43" s="34">
        <v>0.49635036500000002</v>
      </c>
    </row>
    <row r="44" spans="1:57" ht="14.25" customHeight="1">
      <c r="A44" s="33">
        <v>202305</v>
      </c>
      <c r="B44" s="34" t="s">
        <v>75</v>
      </c>
      <c r="C44" s="34" t="s">
        <v>216</v>
      </c>
      <c r="D44" s="34" t="s">
        <v>118</v>
      </c>
      <c r="E44" s="33">
        <v>874943195</v>
      </c>
      <c r="F44" s="33">
        <v>619113053</v>
      </c>
      <c r="G44" s="33">
        <v>752167406</v>
      </c>
      <c r="H44" s="33">
        <v>2386885307</v>
      </c>
      <c r="I44" s="33">
        <v>2639097818</v>
      </c>
      <c r="Q44" s="34">
        <v>69</v>
      </c>
      <c r="R44" s="34">
        <v>41</v>
      </c>
      <c r="S44" s="34">
        <v>55</v>
      </c>
      <c r="T44" s="34">
        <v>81</v>
      </c>
      <c r="U44" s="34">
        <v>82</v>
      </c>
      <c r="AC44" s="34">
        <v>60</v>
      </c>
      <c r="AD44" s="34">
        <v>13</v>
      </c>
      <c r="AE44" s="34">
        <v>41</v>
      </c>
      <c r="AF44" s="34">
        <v>85</v>
      </c>
      <c r="AG44" s="34">
        <v>101</v>
      </c>
      <c r="AO44" s="34">
        <v>206</v>
      </c>
      <c r="AP44" s="34">
        <v>88</v>
      </c>
      <c r="AQ44" s="34">
        <v>166</v>
      </c>
      <c r="AR44" s="34">
        <v>150</v>
      </c>
      <c r="AS44" s="34">
        <v>208</v>
      </c>
      <c r="BA44" s="34">
        <v>0.2912621359</v>
      </c>
      <c r="BB44" s="34">
        <v>0.1477272727</v>
      </c>
      <c r="BC44" s="34">
        <v>0.24698795179999999</v>
      </c>
      <c r="BD44" s="34">
        <v>0.56666666669999999</v>
      </c>
      <c r="BE44" s="34">
        <v>0.4855769231</v>
      </c>
    </row>
    <row r="45" spans="1:57" ht="14.25" customHeight="1">
      <c r="A45" s="33">
        <v>202305</v>
      </c>
      <c r="B45" s="34" t="s">
        <v>75</v>
      </c>
      <c r="C45" s="34" t="s">
        <v>217</v>
      </c>
      <c r="D45" s="34" t="s">
        <v>140</v>
      </c>
      <c r="E45" s="33">
        <v>310053255</v>
      </c>
      <c r="F45" s="33">
        <v>229281672</v>
      </c>
      <c r="G45" s="33">
        <v>1007821406</v>
      </c>
      <c r="H45" s="33">
        <v>1942995126</v>
      </c>
      <c r="I45" s="33">
        <v>1945037632</v>
      </c>
      <c r="Q45" s="34">
        <v>33</v>
      </c>
      <c r="R45" s="34">
        <v>22</v>
      </c>
      <c r="S45" s="34">
        <v>80</v>
      </c>
      <c r="T45" s="34">
        <v>94</v>
      </c>
      <c r="U45" s="34">
        <v>45</v>
      </c>
      <c r="AC45" s="34">
        <v>46</v>
      </c>
      <c r="AD45" s="34">
        <v>24</v>
      </c>
      <c r="AE45" s="34">
        <v>75</v>
      </c>
      <c r="AF45" s="34">
        <v>96</v>
      </c>
      <c r="AG45" s="34">
        <v>54</v>
      </c>
      <c r="AO45" s="34">
        <v>144</v>
      </c>
      <c r="AP45" s="34">
        <v>173</v>
      </c>
      <c r="AQ45" s="34">
        <v>320</v>
      </c>
      <c r="AR45" s="34">
        <v>236</v>
      </c>
      <c r="AS45" s="34">
        <v>135</v>
      </c>
      <c r="BA45" s="34">
        <v>0.31944444440000003</v>
      </c>
      <c r="BB45" s="34">
        <v>0.13872832369999999</v>
      </c>
      <c r="BC45" s="34">
        <v>0.234375</v>
      </c>
      <c r="BD45" s="34">
        <v>0.40677966100000001</v>
      </c>
      <c r="BE45" s="34">
        <v>0.4</v>
      </c>
    </row>
    <row r="46" spans="1:57" ht="14.25" customHeight="1">
      <c r="A46" s="33">
        <v>202305</v>
      </c>
      <c r="B46" s="34" t="s">
        <v>75</v>
      </c>
      <c r="C46" s="34" t="s">
        <v>218</v>
      </c>
      <c r="D46" s="34" t="s">
        <v>141</v>
      </c>
      <c r="E46" s="33">
        <v>494760450</v>
      </c>
      <c r="F46" s="33">
        <v>88380506</v>
      </c>
      <c r="G46" s="33">
        <v>391900397</v>
      </c>
      <c r="H46" s="33">
        <v>5688709061</v>
      </c>
      <c r="I46" s="33">
        <v>3335786156</v>
      </c>
      <c r="Q46" s="34">
        <v>32</v>
      </c>
      <c r="R46" s="34">
        <v>8</v>
      </c>
      <c r="S46" s="34">
        <v>27</v>
      </c>
      <c r="T46" s="34">
        <v>112</v>
      </c>
      <c r="U46" s="34">
        <v>61</v>
      </c>
      <c r="AC46" s="34">
        <v>39</v>
      </c>
      <c r="AD46" s="34">
        <v>16</v>
      </c>
      <c r="AE46" s="34">
        <v>42</v>
      </c>
      <c r="AF46" s="34">
        <v>97</v>
      </c>
      <c r="AG46" s="34">
        <v>67</v>
      </c>
      <c r="AO46" s="34">
        <v>147</v>
      </c>
      <c r="AP46" s="34">
        <v>80</v>
      </c>
      <c r="AQ46" s="34">
        <v>188</v>
      </c>
      <c r="AR46" s="34">
        <v>203</v>
      </c>
      <c r="AS46" s="34">
        <v>187</v>
      </c>
      <c r="BA46" s="34">
        <v>0.26530612240000001</v>
      </c>
      <c r="BB46" s="34">
        <v>0.2</v>
      </c>
      <c r="BC46" s="34">
        <v>0.22340425529999999</v>
      </c>
      <c r="BD46" s="34">
        <v>0.47783251230000001</v>
      </c>
      <c r="BE46" s="34">
        <v>0.35828877009999999</v>
      </c>
    </row>
    <row r="47" spans="1:57" ht="14.25" customHeight="1">
      <c r="A47" s="33">
        <v>202305</v>
      </c>
      <c r="B47" s="34" t="s">
        <v>13</v>
      </c>
      <c r="C47" s="34" t="s">
        <v>219</v>
      </c>
      <c r="D47" s="34" t="s">
        <v>150</v>
      </c>
      <c r="E47" s="33">
        <v>566666976</v>
      </c>
      <c r="F47" s="33">
        <v>365622483</v>
      </c>
      <c r="G47" s="33">
        <v>742564381</v>
      </c>
      <c r="H47" s="33">
        <v>2674469753</v>
      </c>
      <c r="I47" s="33">
        <v>6492779513</v>
      </c>
      <c r="Q47" s="34">
        <v>39</v>
      </c>
      <c r="R47" s="34">
        <v>22</v>
      </c>
      <c r="S47" s="34">
        <v>51</v>
      </c>
      <c r="T47" s="34">
        <v>73</v>
      </c>
      <c r="U47" s="34">
        <v>131</v>
      </c>
      <c r="AC47" s="34">
        <v>37</v>
      </c>
      <c r="AD47" s="34">
        <v>12</v>
      </c>
      <c r="AE47" s="34">
        <v>61</v>
      </c>
      <c r="AF47" s="34">
        <v>86</v>
      </c>
      <c r="AG47" s="34">
        <v>142</v>
      </c>
      <c r="AO47" s="34">
        <v>162</v>
      </c>
      <c r="AP47" s="34">
        <v>94</v>
      </c>
      <c r="AQ47" s="34">
        <v>243</v>
      </c>
      <c r="AR47" s="34">
        <v>188</v>
      </c>
      <c r="AS47" s="34">
        <v>284</v>
      </c>
      <c r="BA47" s="34">
        <v>0.22839506170000001</v>
      </c>
      <c r="BB47" s="34">
        <v>0.12765957450000001</v>
      </c>
      <c r="BC47" s="34">
        <v>0.25102880659999999</v>
      </c>
      <c r="BD47" s="34">
        <v>0.45744680850000002</v>
      </c>
      <c r="BE47" s="34">
        <v>0.5</v>
      </c>
    </row>
    <row r="48" spans="1:57" ht="14.25" customHeight="1">
      <c r="A48" s="33">
        <v>202305</v>
      </c>
      <c r="B48" s="34" t="s">
        <v>13</v>
      </c>
      <c r="C48" s="34" t="s">
        <v>220</v>
      </c>
      <c r="D48" s="34" t="s">
        <v>147</v>
      </c>
      <c r="E48" s="33">
        <v>493890800</v>
      </c>
      <c r="F48" s="33">
        <v>235994000</v>
      </c>
      <c r="G48" s="33">
        <v>603847477</v>
      </c>
      <c r="H48" s="33">
        <v>922796056</v>
      </c>
      <c r="I48" s="33">
        <v>3871459730</v>
      </c>
      <c r="Q48" s="34">
        <v>39</v>
      </c>
      <c r="R48" s="34">
        <v>14</v>
      </c>
      <c r="S48" s="34">
        <v>44</v>
      </c>
      <c r="T48" s="34">
        <v>34</v>
      </c>
      <c r="U48" s="34">
        <v>80</v>
      </c>
      <c r="AC48" s="34">
        <v>22</v>
      </c>
      <c r="AD48" s="34">
        <v>24</v>
      </c>
      <c r="AE48" s="34">
        <v>56</v>
      </c>
      <c r="AF48" s="34">
        <v>69</v>
      </c>
      <c r="AG48" s="34">
        <v>92</v>
      </c>
      <c r="AO48" s="34">
        <v>96</v>
      </c>
      <c r="AP48" s="34">
        <v>55</v>
      </c>
      <c r="AQ48" s="34">
        <v>150</v>
      </c>
      <c r="AR48" s="34">
        <v>223</v>
      </c>
      <c r="AS48" s="34">
        <v>239</v>
      </c>
      <c r="BA48" s="34">
        <v>0.22916666669999999</v>
      </c>
      <c r="BB48" s="34">
        <v>0.43636363639999998</v>
      </c>
      <c r="BC48" s="34">
        <v>0.37333333330000001</v>
      </c>
      <c r="BD48" s="34">
        <v>0.30941704040000001</v>
      </c>
      <c r="BE48" s="34">
        <v>0.3849372385</v>
      </c>
    </row>
    <row r="49" spans="1:57" ht="14.25" customHeight="1">
      <c r="A49" s="33">
        <v>202305</v>
      </c>
      <c r="B49" s="34" t="s">
        <v>75</v>
      </c>
      <c r="C49" s="34" t="s">
        <v>221</v>
      </c>
      <c r="D49" s="34" t="s">
        <v>85</v>
      </c>
      <c r="E49" s="33">
        <v>2375124976</v>
      </c>
      <c r="F49" s="33">
        <v>1446266450</v>
      </c>
      <c r="G49" s="33">
        <v>2445931249</v>
      </c>
      <c r="H49" s="33">
        <v>2936807193</v>
      </c>
      <c r="I49" s="33">
        <v>4338807630</v>
      </c>
      <c r="Q49" s="34">
        <v>164</v>
      </c>
      <c r="R49" s="34">
        <v>62</v>
      </c>
      <c r="S49" s="34">
        <v>85</v>
      </c>
      <c r="T49" s="34">
        <v>95</v>
      </c>
      <c r="U49" s="34">
        <v>152</v>
      </c>
      <c r="AC49" s="34">
        <v>169</v>
      </c>
      <c r="AD49" s="34">
        <v>78</v>
      </c>
      <c r="AE49" s="34">
        <v>106</v>
      </c>
      <c r="AF49" s="34">
        <v>113</v>
      </c>
      <c r="AG49" s="34">
        <v>178</v>
      </c>
      <c r="AO49" s="34">
        <v>461</v>
      </c>
      <c r="AP49" s="34">
        <v>169</v>
      </c>
      <c r="AQ49" s="34">
        <v>264</v>
      </c>
      <c r="AR49" s="34">
        <v>248</v>
      </c>
      <c r="AS49" s="34">
        <v>268</v>
      </c>
      <c r="BA49" s="34">
        <v>0.36659436010000002</v>
      </c>
      <c r="BB49" s="34">
        <v>0.4615384615</v>
      </c>
      <c r="BC49" s="34">
        <v>0.4015151515</v>
      </c>
      <c r="BD49" s="34">
        <v>0.45564516129999999</v>
      </c>
      <c r="BE49" s="34">
        <v>0.66417910449999995</v>
      </c>
    </row>
    <row r="50" spans="1:57" ht="14.25" customHeight="1">
      <c r="A50" s="33">
        <v>202305</v>
      </c>
      <c r="B50" s="34" t="s">
        <v>7</v>
      </c>
      <c r="C50" s="34" t="s">
        <v>222</v>
      </c>
      <c r="D50" s="34" t="s">
        <v>142</v>
      </c>
      <c r="E50" s="33">
        <v>921428691</v>
      </c>
      <c r="F50" s="33">
        <v>424684205</v>
      </c>
      <c r="G50" s="33">
        <v>1109864890</v>
      </c>
      <c r="H50" s="33">
        <v>1855610811</v>
      </c>
      <c r="I50" s="33">
        <v>4422983336</v>
      </c>
      <c r="Q50" s="34">
        <v>76</v>
      </c>
      <c r="R50" s="34">
        <v>36</v>
      </c>
      <c r="S50" s="34">
        <v>75</v>
      </c>
      <c r="T50" s="34">
        <v>124</v>
      </c>
      <c r="U50" s="34">
        <v>192</v>
      </c>
      <c r="AC50" s="34">
        <v>75</v>
      </c>
      <c r="AD50" s="34">
        <v>33</v>
      </c>
      <c r="AE50" s="34">
        <v>91</v>
      </c>
      <c r="AF50" s="34">
        <v>138</v>
      </c>
      <c r="AG50" s="34">
        <v>273</v>
      </c>
      <c r="AO50" s="34">
        <v>269</v>
      </c>
      <c r="AP50" s="34">
        <v>146</v>
      </c>
      <c r="AQ50" s="34">
        <v>331</v>
      </c>
      <c r="AR50" s="34">
        <v>441</v>
      </c>
      <c r="AS50" s="34">
        <v>521</v>
      </c>
      <c r="BA50" s="34">
        <v>0.27881040889999997</v>
      </c>
      <c r="BB50" s="34">
        <v>0.22602739729999999</v>
      </c>
      <c r="BC50" s="34">
        <v>0.27492447129999997</v>
      </c>
      <c r="BD50" s="34">
        <v>0.31292517009999998</v>
      </c>
      <c r="BE50" s="34">
        <v>0.52399232250000005</v>
      </c>
    </row>
    <row r="51" spans="1:57" ht="14.25" customHeight="1">
      <c r="A51" s="33">
        <v>202305</v>
      </c>
      <c r="B51" s="34" t="s">
        <v>13</v>
      </c>
      <c r="C51" s="34" t="s">
        <v>223</v>
      </c>
      <c r="D51" s="34" t="s">
        <v>123</v>
      </c>
      <c r="E51" s="33">
        <v>736059799</v>
      </c>
      <c r="F51" s="33">
        <v>160266316</v>
      </c>
      <c r="G51" s="33">
        <v>317384526</v>
      </c>
      <c r="H51" s="33">
        <v>1712808939</v>
      </c>
      <c r="I51" s="33">
        <v>1521215041</v>
      </c>
      <c r="Q51" s="34">
        <v>61</v>
      </c>
      <c r="R51" s="34">
        <v>21</v>
      </c>
      <c r="S51" s="34">
        <v>37</v>
      </c>
      <c r="T51" s="34">
        <v>60</v>
      </c>
      <c r="U51" s="34">
        <v>41</v>
      </c>
      <c r="AC51" s="34">
        <v>61</v>
      </c>
      <c r="AD51" s="34">
        <v>22</v>
      </c>
      <c r="AE51" s="34">
        <v>43</v>
      </c>
      <c r="AF51" s="34">
        <v>79</v>
      </c>
      <c r="AG51" s="34">
        <v>69</v>
      </c>
      <c r="AO51" s="34">
        <v>125</v>
      </c>
      <c r="AP51" s="34">
        <v>43</v>
      </c>
      <c r="AQ51" s="34">
        <v>105</v>
      </c>
      <c r="AR51" s="34">
        <v>173</v>
      </c>
      <c r="AS51" s="34">
        <v>106</v>
      </c>
      <c r="BA51" s="34">
        <v>0.48799999999999999</v>
      </c>
      <c r="BB51" s="34">
        <v>0.51162790700000005</v>
      </c>
      <c r="BC51" s="34">
        <v>0.4095238095</v>
      </c>
      <c r="BD51" s="34">
        <v>0.45664739879999999</v>
      </c>
      <c r="BE51" s="34">
        <v>0.65094339619999997</v>
      </c>
    </row>
    <row r="52" spans="1:57" ht="14.25" customHeight="1">
      <c r="A52" s="33">
        <v>202305</v>
      </c>
      <c r="B52" s="34" t="s">
        <v>13</v>
      </c>
      <c r="C52" s="34" t="s">
        <v>224</v>
      </c>
      <c r="D52" s="34" t="s">
        <v>154</v>
      </c>
      <c r="E52" s="33">
        <v>300145858</v>
      </c>
      <c r="F52" s="33">
        <v>98522958</v>
      </c>
      <c r="G52" s="33">
        <v>542544383</v>
      </c>
      <c r="H52" s="33">
        <v>2303106843</v>
      </c>
      <c r="I52" s="33">
        <v>1574582171</v>
      </c>
      <c r="Q52" s="34">
        <v>24</v>
      </c>
      <c r="R52" s="34">
        <v>10</v>
      </c>
      <c r="S52" s="34">
        <v>44</v>
      </c>
      <c r="T52" s="34">
        <v>58</v>
      </c>
      <c r="U52" s="34">
        <v>37</v>
      </c>
      <c r="AC52" s="34">
        <v>19</v>
      </c>
      <c r="AD52" s="34">
        <v>15</v>
      </c>
      <c r="AE52" s="34">
        <v>100</v>
      </c>
      <c r="AF52" s="34">
        <v>50</v>
      </c>
      <c r="AG52" s="34">
        <v>59</v>
      </c>
      <c r="AO52" s="34">
        <v>168</v>
      </c>
      <c r="AP52" s="34">
        <v>82</v>
      </c>
      <c r="AQ52" s="34">
        <v>196</v>
      </c>
      <c r="AR52" s="34">
        <v>195</v>
      </c>
      <c r="AS52" s="34">
        <v>147</v>
      </c>
      <c r="BA52" s="34">
        <v>0.1130952381</v>
      </c>
      <c r="BB52" s="34">
        <v>0.18292682930000001</v>
      </c>
      <c r="BC52" s="34">
        <v>0.51020408159999997</v>
      </c>
      <c r="BD52" s="34">
        <v>0.25641025639999998</v>
      </c>
      <c r="BE52" s="34">
        <v>0.4013605442</v>
      </c>
    </row>
    <row r="53" spans="1:57" ht="14.25" customHeight="1">
      <c r="A53" s="33">
        <v>202305</v>
      </c>
      <c r="B53" s="34" t="s">
        <v>13</v>
      </c>
      <c r="C53" s="34" t="s">
        <v>225</v>
      </c>
      <c r="D53" s="34" t="s">
        <v>152</v>
      </c>
      <c r="E53" s="33">
        <v>472604425</v>
      </c>
      <c r="F53" s="33">
        <v>190073340</v>
      </c>
      <c r="G53" s="33">
        <v>291940041</v>
      </c>
      <c r="H53" s="33">
        <v>7792800</v>
      </c>
      <c r="I53" s="33">
        <v>0</v>
      </c>
      <c r="Q53" s="34">
        <v>34</v>
      </c>
      <c r="R53" s="34">
        <v>21</v>
      </c>
      <c r="S53" s="34">
        <v>29</v>
      </c>
      <c r="T53" s="34">
        <v>3</v>
      </c>
      <c r="U53" s="34">
        <v>0</v>
      </c>
      <c r="AC53" s="34">
        <v>17</v>
      </c>
      <c r="AD53" s="34">
        <v>19</v>
      </c>
      <c r="AE53" s="34">
        <v>20</v>
      </c>
      <c r="AF53" s="34">
        <v>0</v>
      </c>
      <c r="AG53" s="34">
        <v>0</v>
      </c>
      <c r="AO53" s="34">
        <v>135</v>
      </c>
      <c r="AP53" s="34">
        <v>73</v>
      </c>
      <c r="AQ53" s="34">
        <v>73</v>
      </c>
      <c r="AR53" s="34">
        <v>0</v>
      </c>
      <c r="AS53" s="34">
        <v>0</v>
      </c>
      <c r="BA53" s="34">
        <v>0.12592592590000001</v>
      </c>
      <c r="BB53" s="34">
        <v>0.26027397260000001</v>
      </c>
      <c r="BC53" s="34">
        <v>0.27397260270000001</v>
      </c>
      <c r="BD53" s="34">
        <v>0</v>
      </c>
      <c r="BE53" s="34">
        <v>0</v>
      </c>
    </row>
    <row r="54" spans="1:57" ht="14.25" customHeight="1">
      <c r="A54" s="33">
        <v>202305</v>
      </c>
      <c r="B54" s="34" t="s">
        <v>12</v>
      </c>
      <c r="C54" s="34" t="s">
        <v>226</v>
      </c>
      <c r="D54" s="34" t="s">
        <v>151</v>
      </c>
      <c r="E54" s="33">
        <v>517746908</v>
      </c>
      <c r="F54" s="33">
        <v>300225787</v>
      </c>
      <c r="G54" s="33">
        <v>585420187</v>
      </c>
      <c r="H54" s="33">
        <v>2269433743</v>
      </c>
      <c r="I54" s="33">
        <v>6897122733</v>
      </c>
      <c r="Q54" s="34">
        <v>36</v>
      </c>
      <c r="R54" s="34">
        <v>22</v>
      </c>
      <c r="S54" s="34">
        <v>47</v>
      </c>
      <c r="T54" s="34">
        <v>80</v>
      </c>
      <c r="U54" s="34">
        <v>152</v>
      </c>
      <c r="AC54" s="34">
        <v>52</v>
      </c>
      <c r="AD54" s="34">
        <v>12</v>
      </c>
      <c r="AE54" s="34">
        <v>71</v>
      </c>
      <c r="AF54" s="34">
        <v>81</v>
      </c>
      <c r="AG54" s="34">
        <v>170</v>
      </c>
      <c r="AO54" s="34">
        <v>181</v>
      </c>
      <c r="AP54" s="34">
        <v>82</v>
      </c>
      <c r="AQ54" s="34">
        <v>215</v>
      </c>
      <c r="AR54" s="34">
        <v>191</v>
      </c>
      <c r="AS54" s="34">
        <v>290</v>
      </c>
      <c r="BA54" s="34">
        <v>0.28729281769999998</v>
      </c>
      <c r="BB54" s="34">
        <v>0.14634146340000001</v>
      </c>
      <c r="BC54" s="34">
        <v>0.33023255810000002</v>
      </c>
      <c r="BD54" s="34">
        <v>0.42408376959999999</v>
      </c>
      <c r="BE54" s="34">
        <v>0.58620689660000003</v>
      </c>
    </row>
    <row r="55" spans="1:57" ht="14.25" customHeight="1">
      <c r="A55" s="33">
        <v>202305</v>
      </c>
      <c r="B55" s="34" t="s">
        <v>12</v>
      </c>
      <c r="C55" s="34" t="s">
        <v>227</v>
      </c>
      <c r="D55" s="34" t="s">
        <v>108</v>
      </c>
      <c r="E55" s="33">
        <v>1214459334</v>
      </c>
      <c r="F55" s="33">
        <v>784864201</v>
      </c>
      <c r="G55" s="33">
        <v>577380199</v>
      </c>
      <c r="H55" s="33">
        <v>2018313102</v>
      </c>
      <c r="I55" s="33">
        <v>2722053377</v>
      </c>
      <c r="Q55" s="34">
        <v>110</v>
      </c>
      <c r="R55" s="34">
        <v>71</v>
      </c>
      <c r="S55" s="34">
        <v>49</v>
      </c>
      <c r="T55" s="34">
        <v>87</v>
      </c>
      <c r="U55" s="34">
        <v>94</v>
      </c>
      <c r="AC55" s="34">
        <v>68</v>
      </c>
      <c r="AD55" s="34">
        <v>47</v>
      </c>
      <c r="AE55" s="34">
        <v>96</v>
      </c>
      <c r="AF55" s="34">
        <v>100</v>
      </c>
      <c r="AG55" s="34">
        <v>102</v>
      </c>
      <c r="AO55" s="34">
        <v>177</v>
      </c>
      <c r="AP55" s="34">
        <v>90</v>
      </c>
      <c r="AQ55" s="34">
        <v>165</v>
      </c>
      <c r="AR55" s="34">
        <v>201</v>
      </c>
      <c r="AS55" s="34">
        <v>231</v>
      </c>
      <c r="BA55" s="34">
        <v>0.38418079100000002</v>
      </c>
      <c r="BB55" s="34">
        <v>0.52222222220000003</v>
      </c>
      <c r="BC55" s="34">
        <v>0.5818181818</v>
      </c>
      <c r="BD55" s="34">
        <v>0.49751243779999998</v>
      </c>
      <c r="BE55" s="34">
        <v>0.44155844160000002</v>
      </c>
    </row>
    <row r="56" spans="1:57" ht="14.25" customHeight="1">
      <c r="A56" s="33">
        <v>202305</v>
      </c>
      <c r="B56" s="34" t="s">
        <v>13</v>
      </c>
      <c r="C56" s="34" t="s">
        <v>228</v>
      </c>
      <c r="D56" s="34" t="s">
        <v>135</v>
      </c>
      <c r="E56" s="33">
        <v>438475925</v>
      </c>
      <c r="F56" s="33">
        <v>144591583</v>
      </c>
      <c r="G56" s="33">
        <v>636601656</v>
      </c>
      <c r="H56" s="33">
        <v>1379236996</v>
      </c>
      <c r="I56" s="33">
        <v>2309346176</v>
      </c>
      <c r="Q56" s="34">
        <v>38</v>
      </c>
      <c r="R56" s="34">
        <v>16</v>
      </c>
      <c r="S56" s="34">
        <v>52</v>
      </c>
      <c r="T56" s="34">
        <v>75</v>
      </c>
      <c r="U56" s="34">
        <v>88</v>
      </c>
      <c r="AC56" s="34">
        <v>37</v>
      </c>
      <c r="AD56" s="34">
        <v>53</v>
      </c>
      <c r="AE56" s="34">
        <v>111</v>
      </c>
      <c r="AF56" s="34">
        <v>100</v>
      </c>
      <c r="AG56" s="34">
        <v>77</v>
      </c>
      <c r="AO56" s="34">
        <v>109</v>
      </c>
      <c r="AP56" s="34">
        <v>76</v>
      </c>
      <c r="AQ56" s="34">
        <v>220</v>
      </c>
      <c r="AR56" s="34">
        <v>218</v>
      </c>
      <c r="AS56" s="34">
        <v>198</v>
      </c>
      <c r="BA56" s="34">
        <v>0.33944954129999999</v>
      </c>
      <c r="BB56" s="34">
        <v>0.69736842109999997</v>
      </c>
      <c r="BC56" s="34">
        <v>0.50454545449999999</v>
      </c>
      <c r="BD56" s="34">
        <v>0.45871559629999997</v>
      </c>
      <c r="BE56" s="34">
        <v>0.38888888890000001</v>
      </c>
    </row>
    <row r="57" spans="1:57" ht="14.25" customHeight="1">
      <c r="A57" s="33">
        <v>202305</v>
      </c>
      <c r="B57" s="34" t="s">
        <v>11</v>
      </c>
      <c r="C57" s="34" t="s">
        <v>229</v>
      </c>
      <c r="D57" s="34" t="s">
        <v>133</v>
      </c>
      <c r="E57" s="33">
        <v>263846117</v>
      </c>
      <c r="F57" s="33">
        <v>70018240</v>
      </c>
      <c r="G57" s="33">
        <v>988832821</v>
      </c>
      <c r="H57" s="33">
        <v>2327947522</v>
      </c>
      <c r="I57" s="33">
        <v>3757022275</v>
      </c>
      <c r="Q57" s="34">
        <v>20</v>
      </c>
      <c r="R57" s="34">
        <v>3</v>
      </c>
      <c r="S57" s="34">
        <v>90</v>
      </c>
      <c r="T57" s="34">
        <v>180</v>
      </c>
      <c r="U57" s="34">
        <v>242</v>
      </c>
      <c r="AC57" s="34">
        <v>13</v>
      </c>
      <c r="AD57" s="34">
        <v>4</v>
      </c>
      <c r="AE57" s="34">
        <v>100</v>
      </c>
      <c r="AF57" s="34">
        <v>212</v>
      </c>
      <c r="AG57" s="34">
        <v>269</v>
      </c>
      <c r="AO57" s="34">
        <v>83</v>
      </c>
      <c r="AP57" s="34">
        <v>10</v>
      </c>
      <c r="AQ57" s="34">
        <v>262</v>
      </c>
      <c r="AR57" s="34">
        <v>489</v>
      </c>
      <c r="AS57" s="34">
        <v>544</v>
      </c>
      <c r="BA57" s="34">
        <v>0.156626506</v>
      </c>
      <c r="BB57" s="34">
        <v>0.4</v>
      </c>
      <c r="BC57" s="34">
        <v>0.3816793893</v>
      </c>
      <c r="BD57" s="34">
        <v>0.43353783229999998</v>
      </c>
      <c r="BE57" s="34">
        <v>0.49448529409999997</v>
      </c>
    </row>
    <row r="58" spans="1:57" ht="14.25" customHeight="1">
      <c r="A58" s="33">
        <v>202305</v>
      </c>
      <c r="B58" s="34" t="s">
        <v>13</v>
      </c>
      <c r="C58" s="34" t="s">
        <v>230</v>
      </c>
      <c r="D58" s="34" t="s">
        <v>130</v>
      </c>
      <c r="E58" s="33">
        <v>677119043</v>
      </c>
      <c r="F58" s="33">
        <v>141490258</v>
      </c>
      <c r="G58" s="33">
        <v>878325480</v>
      </c>
      <c r="H58" s="33">
        <v>4526726460</v>
      </c>
      <c r="I58" s="33">
        <v>6616847223</v>
      </c>
      <c r="Q58" s="34">
        <v>91</v>
      </c>
      <c r="R58" s="34">
        <v>23</v>
      </c>
      <c r="S58" s="34">
        <v>108</v>
      </c>
      <c r="T58" s="34">
        <v>283</v>
      </c>
      <c r="U58" s="34">
        <v>346</v>
      </c>
      <c r="AC58" s="34">
        <v>99</v>
      </c>
      <c r="AD58" s="34">
        <v>12</v>
      </c>
      <c r="AE58" s="34">
        <v>217</v>
      </c>
      <c r="AF58" s="34">
        <v>289</v>
      </c>
      <c r="AG58" s="34">
        <v>404</v>
      </c>
      <c r="AO58" s="34">
        <v>196</v>
      </c>
      <c r="AP58" s="34">
        <v>63</v>
      </c>
      <c r="AQ58" s="34">
        <v>419</v>
      </c>
      <c r="AR58" s="34">
        <v>508</v>
      </c>
      <c r="AS58" s="34">
        <v>637</v>
      </c>
      <c r="BA58" s="34">
        <v>0.50510204079999999</v>
      </c>
      <c r="BB58" s="34">
        <v>0.1904761905</v>
      </c>
      <c r="BC58" s="34">
        <v>0.51789976130000004</v>
      </c>
      <c r="BD58" s="34">
        <v>0.56889763780000002</v>
      </c>
      <c r="BE58" s="34">
        <v>0.63422291990000002</v>
      </c>
    </row>
    <row r="59" spans="1:57" ht="14.25" customHeight="1">
      <c r="A59" s="33">
        <v>202305</v>
      </c>
      <c r="B59" s="34" t="s">
        <v>13</v>
      </c>
      <c r="C59" s="34" t="s">
        <v>231</v>
      </c>
      <c r="D59" s="34" t="s">
        <v>148</v>
      </c>
      <c r="E59" s="33">
        <v>842697486</v>
      </c>
      <c r="F59" s="33">
        <v>121220253</v>
      </c>
      <c r="G59" s="33">
        <v>893050823</v>
      </c>
      <c r="H59" s="33">
        <v>2303586631</v>
      </c>
      <c r="I59" s="33">
        <v>5346069298</v>
      </c>
      <c r="Q59" s="34">
        <v>55</v>
      </c>
      <c r="R59" s="34">
        <v>11</v>
      </c>
      <c r="S59" s="34">
        <v>89</v>
      </c>
      <c r="T59" s="34">
        <v>133</v>
      </c>
      <c r="U59" s="34">
        <v>165</v>
      </c>
      <c r="AC59" s="34">
        <v>55</v>
      </c>
      <c r="AD59" s="34">
        <v>15</v>
      </c>
      <c r="AE59" s="34">
        <v>149</v>
      </c>
      <c r="AF59" s="34">
        <v>153</v>
      </c>
      <c r="AG59" s="34">
        <v>174</v>
      </c>
      <c r="AO59" s="34">
        <v>246</v>
      </c>
      <c r="AP59" s="34">
        <v>109</v>
      </c>
      <c r="AQ59" s="34">
        <v>403</v>
      </c>
      <c r="AR59" s="34">
        <v>359</v>
      </c>
      <c r="AS59" s="34">
        <v>421</v>
      </c>
      <c r="BA59" s="34">
        <v>0.2235772358</v>
      </c>
      <c r="BB59" s="34">
        <v>0.13761467890000001</v>
      </c>
      <c r="BC59" s="34">
        <v>0.36972704709999998</v>
      </c>
      <c r="BD59" s="34">
        <v>0.42618384399999998</v>
      </c>
      <c r="BE59" s="34">
        <v>0.41330166270000002</v>
      </c>
    </row>
    <row r="60" spans="1:57" ht="14.25" customHeight="1">
      <c r="A60" s="33">
        <v>202305</v>
      </c>
      <c r="B60" s="34" t="s">
        <v>13</v>
      </c>
      <c r="C60" s="34" t="s">
        <v>175</v>
      </c>
      <c r="D60" s="34" t="s">
        <v>113</v>
      </c>
      <c r="E60" s="33">
        <v>442090428</v>
      </c>
      <c r="F60" s="33">
        <v>47187329</v>
      </c>
      <c r="G60" s="33">
        <v>651775729</v>
      </c>
      <c r="H60" s="33">
        <v>3483215387</v>
      </c>
      <c r="I60" s="33">
        <v>4217800949</v>
      </c>
      <c r="Q60" s="34">
        <v>36</v>
      </c>
      <c r="R60" s="34">
        <v>7</v>
      </c>
      <c r="S60" s="34">
        <v>73</v>
      </c>
      <c r="T60" s="34">
        <v>166</v>
      </c>
      <c r="U60" s="34">
        <v>215</v>
      </c>
      <c r="AC60" s="34">
        <v>32</v>
      </c>
      <c r="AD60" s="34">
        <v>9</v>
      </c>
      <c r="AE60" s="34">
        <v>112</v>
      </c>
      <c r="AF60" s="34">
        <v>185</v>
      </c>
      <c r="AG60" s="34">
        <v>275</v>
      </c>
      <c r="AO60" s="34">
        <v>101</v>
      </c>
      <c r="AP60" s="34">
        <v>22</v>
      </c>
      <c r="AQ60" s="34">
        <v>252</v>
      </c>
      <c r="AR60" s="34">
        <v>315</v>
      </c>
      <c r="AS60" s="34">
        <v>466</v>
      </c>
      <c r="BA60" s="34">
        <v>0.31683168319999999</v>
      </c>
      <c r="BB60" s="34">
        <v>0.40909090910000001</v>
      </c>
      <c r="BC60" s="34">
        <v>0.44444444440000003</v>
      </c>
      <c r="BD60" s="34">
        <v>0.58730158730000004</v>
      </c>
      <c r="BE60" s="34">
        <v>0.59012875539999998</v>
      </c>
    </row>
    <row r="61" spans="1:57" ht="14.25" customHeight="1">
      <c r="A61" s="33">
        <v>202305</v>
      </c>
      <c r="B61" s="34" t="s">
        <v>13</v>
      </c>
      <c r="C61" s="34" t="s">
        <v>232</v>
      </c>
      <c r="D61" s="34" t="s">
        <v>155</v>
      </c>
      <c r="E61" s="33">
        <v>200556650</v>
      </c>
      <c r="F61" s="33">
        <v>112850953</v>
      </c>
      <c r="G61" s="33">
        <v>164263738</v>
      </c>
      <c r="H61" s="33">
        <v>39919150</v>
      </c>
      <c r="I61" s="33">
        <v>27870990</v>
      </c>
      <c r="Q61" s="34">
        <v>17</v>
      </c>
      <c r="R61" s="34">
        <v>10</v>
      </c>
      <c r="S61" s="34">
        <v>18</v>
      </c>
      <c r="T61" s="34">
        <v>5</v>
      </c>
      <c r="U61" s="34">
        <v>2</v>
      </c>
      <c r="AC61" s="34">
        <v>19</v>
      </c>
      <c r="AD61" s="34">
        <v>9</v>
      </c>
      <c r="AE61" s="34">
        <v>21</v>
      </c>
      <c r="AF61" s="34">
        <v>0</v>
      </c>
      <c r="AG61" s="34">
        <v>0</v>
      </c>
      <c r="AO61" s="34">
        <v>99</v>
      </c>
      <c r="AP61" s="34">
        <v>56</v>
      </c>
      <c r="AQ61" s="34">
        <v>91</v>
      </c>
      <c r="AR61" s="34">
        <v>0</v>
      </c>
      <c r="AS61" s="34">
        <v>0</v>
      </c>
      <c r="BA61" s="34">
        <v>0.19191919190000001</v>
      </c>
      <c r="BB61" s="34">
        <v>0.16071428569999999</v>
      </c>
      <c r="BC61" s="34">
        <v>0.2307692308</v>
      </c>
      <c r="BD61" s="34">
        <v>0</v>
      </c>
      <c r="BE61" s="34">
        <v>0</v>
      </c>
    </row>
    <row r="62" spans="1:57" ht="14.25" customHeight="1">
      <c r="A62" s="33">
        <v>202305</v>
      </c>
      <c r="B62" s="34" t="s">
        <v>13</v>
      </c>
      <c r="C62" s="34" t="s">
        <v>233</v>
      </c>
      <c r="D62" s="34" t="s">
        <v>139</v>
      </c>
      <c r="E62" s="33">
        <v>728917316</v>
      </c>
      <c r="F62" s="33">
        <v>230579073</v>
      </c>
      <c r="G62" s="33">
        <v>771180891</v>
      </c>
      <c r="H62" s="33">
        <v>934872480</v>
      </c>
      <c r="I62" s="33">
        <v>1826490067</v>
      </c>
      <c r="Q62" s="34">
        <v>65</v>
      </c>
      <c r="R62" s="34">
        <v>15</v>
      </c>
      <c r="S62" s="34">
        <v>47</v>
      </c>
      <c r="T62" s="34">
        <v>75</v>
      </c>
      <c r="U62" s="34">
        <v>74</v>
      </c>
      <c r="AC62" s="34">
        <v>42</v>
      </c>
      <c r="AD62" s="34">
        <v>19</v>
      </c>
      <c r="AE62" s="34">
        <v>64</v>
      </c>
      <c r="AF62" s="34">
        <v>75</v>
      </c>
      <c r="AG62" s="34">
        <v>97</v>
      </c>
      <c r="AO62" s="34">
        <v>133</v>
      </c>
      <c r="AP62" s="34">
        <v>58</v>
      </c>
      <c r="AQ62" s="34">
        <v>246</v>
      </c>
      <c r="AR62" s="34">
        <v>189</v>
      </c>
      <c r="AS62" s="34">
        <v>240</v>
      </c>
      <c r="BA62" s="34">
        <v>0.31578947369999999</v>
      </c>
      <c r="BB62" s="34">
        <v>0.32758620690000001</v>
      </c>
      <c r="BC62" s="34">
        <v>0.26016260159999999</v>
      </c>
      <c r="BD62" s="34">
        <v>0.39682539680000001</v>
      </c>
      <c r="BE62" s="34">
        <v>0.40416666670000001</v>
      </c>
    </row>
    <row r="63" spans="1:57" ht="14.25" customHeight="1">
      <c r="A63" s="33">
        <v>202305</v>
      </c>
      <c r="B63" s="34" t="s">
        <v>11</v>
      </c>
      <c r="C63" s="34" t="s">
        <v>234</v>
      </c>
      <c r="D63" s="34" t="s">
        <v>90</v>
      </c>
      <c r="E63" s="33">
        <v>1751228402</v>
      </c>
      <c r="F63" s="33">
        <v>223037348</v>
      </c>
      <c r="G63" s="33">
        <v>722113433</v>
      </c>
      <c r="H63" s="33">
        <v>2543520771</v>
      </c>
      <c r="I63" s="33">
        <v>4073316318</v>
      </c>
      <c r="Q63" s="34">
        <v>157</v>
      </c>
      <c r="R63" s="34">
        <v>24</v>
      </c>
      <c r="S63" s="34">
        <v>86</v>
      </c>
      <c r="T63" s="34">
        <v>119</v>
      </c>
      <c r="U63" s="34">
        <v>137</v>
      </c>
      <c r="AC63" s="34">
        <v>100</v>
      </c>
      <c r="AD63" s="34">
        <v>31</v>
      </c>
      <c r="AE63" s="34">
        <v>96</v>
      </c>
      <c r="AF63" s="34">
        <v>113</v>
      </c>
      <c r="AG63" s="34">
        <v>144</v>
      </c>
      <c r="AO63" s="34">
        <v>207</v>
      </c>
      <c r="AP63" s="34">
        <v>86</v>
      </c>
      <c r="AQ63" s="34">
        <v>208</v>
      </c>
      <c r="AR63" s="34">
        <v>257</v>
      </c>
      <c r="AS63" s="34">
        <v>289</v>
      </c>
      <c r="BA63" s="34">
        <v>0.48309178739999997</v>
      </c>
      <c r="BB63" s="34">
        <v>0.3604651163</v>
      </c>
      <c r="BC63" s="34">
        <v>0.4615384615</v>
      </c>
      <c r="BD63" s="34">
        <v>0.43968871599999998</v>
      </c>
      <c r="BE63" s="34">
        <v>0.49826989620000001</v>
      </c>
    </row>
    <row r="64" spans="1:57" ht="14.25" customHeight="1">
      <c r="A64" s="33">
        <v>202305</v>
      </c>
      <c r="B64" s="34" t="s">
        <v>12</v>
      </c>
      <c r="C64" s="34" t="s">
        <v>235</v>
      </c>
      <c r="D64" s="34" t="s">
        <v>115</v>
      </c>
      <c r="E64" s="33">
        <v>1927539231</v>
      </c>
      <c r="F64" s="33">
        <v>672491387</v>
      </c>
      <c r="G64" s="33">
        <v>894761865</v>
      </c>
      <c r="H64" s="33">
        <v>3133442324</v>
      </c>
      <c r="I64" s="33">
        <v>5148140313</v>
      </c>
      <c r="Q64" s="34">
        <v>116</v>
      </c>
      <c r="R64" s="34">
        <v>44</v>
      </c>
      <c r="S64" s="34">
        <v>64</v>
      </c>
      <c r="T64" s="34">
        <v>98</v>
      </c>
      <c r="U64" s="34">
        <v>119</v>
      </c>
      <c r="AC64" s="34">
        <v>81</v>
      </c>
      <c r="AD64" s="34">
        <v>44</v>
      </c>
      <c r="AE64" s="34">
        <v>93</v>
      </c>
      <c r="AF64" s="34">
        <v>122</v>
      </c>
      <c r="AG64" s="34">
        <v>148</v>
      </c>
      <c r="AO64" s="34">
        <v>222</v>
      </c>
      <c r="AP64" s="34">
        <v>166</v>
      </c>
      <c r="AQ64" s="34">
        <v>257</v>
      </c>
      <c r="AR64" s="34">
        <v>263</v>
      </c>
      <c r="AS64" s="34">
        <v>342</v>
      </c>
      <c r="BA64" s="34">
        <v>0.36486486489999997</v>
      </c>
      <c r="BB64" s="34">
        <v>0.26506024099999997</v>
      </c>
      <c r="BC64" s="34">
        <v>0.36186770429999998</v>
      </c>
      <c r="BD64" s="34">
        <v>0.46387832699999998</v>
      </c>
      <c r="BE64" s="34">
        <v>0.43274853800000002</v>
      </c>
    </row>
    <row r="65" spans="1:57" ht="14.25" customHeight="1">
      <c r="A65" s="33">
        <v>202305</v>
      </c>
      <c r="B65" s="34" t="s">
        <v>10</v>
      </c>
      <c r="C65" s="34" t="s">
        <v>236</v>
      </c>
      <c r="D65" s="34" t="s">
        <v>107</v>
      </c>
      <c r="E65" s="33">
        <v>696739992</v>
      </c>
      <c r="F65" s="33">
        <v>507784560</v>
      </c>
      <c r="G65" s="33">
        <v>857561154</v>
      </c>
      <c r="H65" s="33">
        <v>1281979577</v>
      </c>
      <c r="I65" s="33">
        <v>3213398127</v>
      </c>
      <c r="Q65" s="34">
        <v>81</v>
      </c>
      <c r="R65" s="34">
        <v>56</v>
      </c>
      <c r="S65" s="34">
        <v>117</v>
      </c>
      <c r="T65" s="34">
        <v>140</v>
      </c>
      <c r="U65" s="34">
        <v>154</v>
      </c>
      <c r="AC65" s="34">
        <v>84</v>
      </c>
      <c r="AD65" s="34">
        <v>68</v>
      </c>
      <c r="AE65" s="34">
        <v>128</v>
      </c>
      <c r="AF65" s="34">
        <v>158</v>
      </c>
      <c r="AG65" s="34">
        <v>156</v>
      </c>
      <c r="AO65" s="34">
        <v>153</v>
      </c>
      <c r="AP65" s="34">
        <v>115</v>
      </c>
      <c r="AQ65" s="34">
        <v>212</v>
      </c>
      <c r="AR65" s="34">
        <v>225</v>
      </c>
      <c r="AS65" s="34">
        <v>297</v>
      </c>
      <c r="BA65" s="34">
        <v>0.54901960780000003</v>
      </c>
      <c r="BB65" s="34">
        <v>0.59130434779999996</v>
      </c>
      <c r="BC65" s="34">
        <v>0.60377358489999999</v>
      </c>
      <c r="BD65" s="34">
        <v>0.70222222219999997</v>
      </c>
      <c r="BE65" s="34">
        <v>0.52525252529999999</v>
      </c>
    </row>
    <row r="66" spans="1:57" ht="14.25" customHeight="1">
      <c r="A66" s="33">
        <v>202305</v>
      </c>
      <c r="B66" s="34" t="s">
        <v>75</v>
      </c>
      <c r="C66" s="34" t="s">
        <v>237</v>
      </c>
      <c r="D66" s="34" t="s">
        <v>94</v>
      </c>
      <c r="E66" s="33">
        <v>1820072083</v>
      </c>
      <c r="F66" s="33">
        <v>1010581445</v>
      </c>
      <c r="G66" s="33">
        <v>2110542808</v>
      </c>
      <c r="H66" s="33">
        <v>3981189842</v>
      </c>
      <c r="I66" s="33">
        <v>5815872181</v>
      </c>
      <c r="Q66" s="34">
        <v>101</v>
      </c>
      <c r="R66" s="34">
        <v>66</v>
      </c>
      <c r="S66" s="34">
        <v>110</v>
      </c>
      <c r="T66" s="34">
        <v>101</v>
      </c>
      <c r="U66" s="34">
        <v>144</v>
      </c>
      <c r="AC66" s="34">
        <v>115</v>
      </c>
      <c r="AD66" s="34">
        <v>90</v>
      </c>
      <c r="AE66" s="34">
        <v>141</v>
      </c>
      <c r="AF66" s="34">
        <v>119</v>
      </c>
      <c r="AG66" s="34">
        <v>167</v>
      </c>
      <c r="AO66" s="34">
        <v>362</v>
      </c>
      <c r="AP66" s="34">
        <v>196</v>
      </c>
      <c r="AQ66" s="34">
        <v>248</v>
      </c>
      <c r="AR66" s="34">
        <v>225</v>
      </c>
      <c r="AS66" s="34">
        <v>314</v>
      </c>
      <c r="BA66" s="34">
        <v>0.31767955799999997</v>
      </c>
      <c r="BB66" s="34">
        <v>0.4591836735</v>
      </c>
      <c r="BC66" s="34">
        <v>0.5685483871</v>
      </c>
      <c r="BD66" s="34">
        <v>0.52888888889999996</v>
      </c>
      <c r="BE66" s="34">
        <v>0.53184713380000004</v>
      </c>
    </row>
    <row r="67" spans="1:57" ht="14.25" customHeight="1">
      <c r="A67" s="33">
        <v>202305</v>
      </c>
      <c r="B67" s="34" t="s">
        <v>7</v>
      </c>
      <c r="C67" s="34" t="s">
        <v>238</v>
      </c>
      <c r="D67" s="34" t="s">
        <v>126</v>
      </c>
      <c r="E67" s="33">
        <v>1236911793</v>
      </c>
      <c r="F67" s="33">
        <v>515858926</v>
      </c>
      <c r="G67" s="33">
        <v>1059062307</v>
      </c>
      <c r="H67" s="33">
        <v>1621851382</v>
      </c>
      <c r="I67" s="33">
        <v>3886105756</v>
      </c>
      <c r="Q67" s="34">
        <v>103</v>
      </c>
      <c r="R67" s="34">
        <v>39</v>
      </c>
      <c r="S67" s="34">
        <v>68</v>
      </c>
      <c r="T67" s="34">
        <v>70</v>
      </c>
      <c r="U67" s="34">
        <v>105</v>
      </c>
      <c r="AC67" s="34">
        <v>78</v>
      </c>
      <c r="AD67" s="34">
        <v>22</v>
      </c>
      <c r="AE67" s="34">
        <v>78</v>
      </c>
      <c r="AF67" s="34">
        <v>79</v>
      </c>
      <c r="AG67" s="34">
        <v>105</v>
      </c>
      <c r="AO67" s="34">
        <v>214</v>
      </c>
      <c r="AP67" s="34">
        <v>90</v>
      </c>
      <c r="AQ67" s="34">
        <v>225</v>
      </c>
      <c r="AR67" s="34">
        <v>227</v>
      </c>
      <c r="AS67" s="34">
        <v>238</v>
      </c>
      <c r="BA67" s="34">
        <v>0.36448598129999998</v>
      </c>
      <c r="BB67" s="34">
        <v>0.24444444439999999</v>
      </c>
      <c r="BC67" s="34">
        <v>0.34666666670000001</v>
      </c>
      <c r="BD67" s="34">
        <v>0.34801762110000001</v>
      </c>
      <c r="BE67" s="34">
        <v>0.44117647059999998</v>
      </c>
    </row>
    <row r="68" spans="1:57" ht="14.25" customHeight="1">
      <c r="A68" s="33">
        <v>202305</v>
      </c>
      <c r="B68" s="34" t="s">
        <v>12</v>
      </c>
      <c r="C68" s="34" t="s">
        <v>239</v>
      </c>
      <c r="D68" s="34" t="s">
        <v>137</v>
      </c>
      <c r="E68" s="33">
        <v>574347578</v>
      </c>
      <c r="F68" s="33">
        <v>277019960</v>
      </c>
      <c r="G68" s="33">
        <v>946330274</v>
      </c>
      <c r="H68" s="33">
        <v>2845620609</v>
      </c>
      <c r="I68" s="33">
        <v>4991304513</v>
      </c>
      <c r="Q68" s="34">
        <v>58</v>
      </c>
      <c r="R68" s="34">
        <v>35</v>
      </c>
      <c r="S68" s="34">
        <v>135</v>
      </c>
      <c r="T68" s="34">
        <v>168</v>
      </c>
      <c r="U68" s="34">
        <v>202</v>
      </c>
      <c r="AC68" s="34">
        <v>62</v>
      </c>
      <c r="AD68" s="34">
        <v>20</v>
      </c>
      <c r="AE68" s="34">
        <v>182</v>
      </c>
      <c r="AF68" s="34">
        <v>188</v>
      </c>
      <c r="AG68" s="34">
        <v>215</v>
      </c>
      <c r="AO68" s="34">
        <v>178</v>
      </c>
      <c r="AP68" s="34">
        <v>54</v>
      </c>
      <c r="AQ68" s="34">
        <v>286</v>
      </c>
      <c r="AR68" s="34">
        <v>349</v>
      </c>
      <c r="AS68" s="34">
        <v>351</v>
      </c>
      <c r="BA68" s="34">
        <v>0.34831460669999997</v>
      </c>
      <c r="BB68" s="34">
        <v>0.37037037039999998</v>
      </c>
      <c r="BC68" s="34">
        <v>0.63636363640000004</v>
      </c>
      <c r="BD68" s="34">
        <v>0.53868194840000005</v>
      </c>
      <c r="BE68" s="34">
        <v>0.61253561249999999</v>
      </c>
    </row>
    <row r="69" spans="1:57" ht="14.25" customHeight="1">
      <c r="A69" s="33">
        <v>202305</v>
      </c>
      <c r="B69" s="34" t="s">
        <v>75</v>
      </c>
      <c r="C69" s="34" t="s">
        <v>240</v>
      </c>
      <c r="D69" s="34" t="s">
        <v>136</v>
      </c>
      <c r="E69" s="33">
        <v>161282400</v>
      </c>
      <c r="F69" s="33">
        <v>412762805</v>
      </c>
      <c r="G69" s="33">
        <v>847060960</v>
      </c>
      <c r="H69" s="33">
        <v>1899433543</v>
      </c>
      <c r="I69" s="33">
        <v>2850024057</v>
      </c>
      <c r="Q69" s="34">
        <v>14</v>
      </c>
      <c r="R69" s="34">
        <v>30</v>
      </c>
      <c r="S69" s="34">
        <v>58</v>
      </c>
      <c r="T69" s="34">
        <v>74</v>
      </c>
      <c r="U69" s="34">
        <v>96</v>
      </c>
      <c r="AC69" s="34">
        <v>54</v>
      </c>
      <c r="AD69" s="34">
        <v>24</v>
      </c>
      <c r="AE69" s="34">
        <v>50</v>
      </c>
      <c r="AF69" s="34">
        <v>83</v>
      </c>
      <c r="AG69" s="34">
        <v>115</v>
      </c>
      <c r="AO69" s="34">
        <v>170</v>
      </c>
      <c r="AP69" s="34">
        <v>94</v>
      </c>
      <c r="AQ69" s="34">
        <v>142</v>
      </c>
      <c r="AR69" s="34">
        <v>196</v>
      </c>
      <c r="AS69" s="34">
        <v>255</v>
      </c>
      <c r="BA69" s="34">
        <v>0.31764705879999999</v>
      </c>
      <c r="BB69" s="34">
        <v>0.25531914890000001</v>
      </c>
      <c r="BC69" s="34">
        <v>0.35211267610000002</v>
      </c>
      <c r="BD69" s="34">
        <v>0.42346938779999999</v>
      </c>
      <c r="BE69" s="34">
        <v>0.45098039220000002</v>
      </c>
    </row>
    <row r="70" spans="1:57" ht="14.25" customHeight="1">
      <c r="A70" s="33">
        <v>202305</v>
      </c>
      <c r="B70" s="34" t="s">
        <v>7</v>
      </c>
      <c r="C70" s="34" t="s">
        <v>241</v>
      </c>
      <c r="D70" s="34" t="s">
        <v>132</v>
      </c>
      <c r="E70" s="33">
        <v>885806693</v>
      </c>
      <c r="F70" s="33">
        <v>493316310</v>
      </c>
      <c r="G70" s="33">
        <v>1621215477</v>
      </c>
      <c r="H70" s="33">
        <v>3009719006</v>
      </c>
      <c r="I70" s="33">
        <v>3046616311</v>
      </c>
      <c r="Q70" s="34">
        <v>69</v>
      </c>
      <c r="R70" s="34">
        <v>33</v>
      </c>
      <c r="S70" s="34">
        <v>108</v>
      </c>
      <c r="T70" s="34">
        <v>107</v>
      </c>
      <c r="U70" s="34">
        <v>106</v>
      </c>
      <c r="AC70" s="34">
        <v>62</v>
      </c>
      <c r="AD70" s="34">
        <v>49</v>
      </c>
      <c r="AE70" s="34">
        <v>111</v>
      </c>
      <c r="AF70" s="34">
        <v>107</v>
      </c>
      <c r="AG70" s="34">
        <v>121</v>
      </c>
      <c r="AO70" s="34">
        <v>190</v>
      </c>
      <c r="AP70" s="34">
        <v>149</v>
      </c>
      <c r="AQ70" s="34">
        <v>279</v>
      </c>
      <c r="AR70" s="34">
        <v>243</v>
      </c>
      <c r="AS70" s="34">
        <v>253</v>
      </c>
      <c r="BA70" s="34">
        <v>0.32631578950000001</v>
      </c>
      <c r="BB70" s="34">
        <v>0.32885906040000001</v>
      </c>
      <c r="BC70" s="34">
        <v>0.39784946240000002</v>
      </c>
      <c r="BD70" s="34">
        <v>0.44032921809999997</v>
      </c>
      <c r="BE70" s="34">
        <v>0.47826086960000003</v>
      </c>
    </row>
    <row r="71" spans="1:57" ht="14.25" customHeight="1">
      <c r="A71" s="33">
        <v>202305</v>
      </c>
      <c r="B71" s="34" t="s">
        <v>12</v>
      </c>
      <c r="C71" s="34" t="s">
        <v>242</v>
      </c>
      <c r="D71" s="34" t="s">
        <v>243</v>
      </c>
      <c r="G71" s="33">
        <v>231638175</v>
      </c>
      <c r="H71" s="33">
        <v>6147746927</v>
      </c>
      <c r="I71" s="33">
        <v>9124641178</v>
      </c>
      <c r="S71" s="34">
        <v>22</v>
      </c>
      <c r="T71" s="34">
        <v>125</v>
      </c>
      <c r="U71" s="34">
        <v>154</v>
      </c>
      <c r="AE71" s="34">
        <v>31</v>
      </c>
      <c r="AF71" s="34">
        <v>136</v>
      </c>
      <c r="AG71" s="34">
        <v>148</v>
      </c>
      <c r="AQ71" s="34">
        <v>104</v>
      </c>
      <c r="AR71" s="34">
        <v>295</v>
      </c>
      <c r="AS71" s="34">
        <v>358</v>
      </c>
      <c r="BC71" s="34">
        <v>0.2980769231</v>
      </c>
      <c r="BD71" s="34">
        <v>0.46101694920000003</v>
      </c>
      <c r="BE71" s="34">
        <v>0.41340782120000003</v>
      </c>
    </row>
    <row r="72" spans="1:57" ht="14.25" customHeight="1">
      <c r="A72" s="33">
        <v>202305</v>
      </c>
      <c r="B72" s="34" t="s">
        <v>13</v>
      </c>
      <c r="C72" s="34" t="s">
        <v>244</v>
      </c>
      <c r="D72" s="34" t="s">
        <v>245</v>
      </c>
      <c r="H72" s="33">
        <v>2508963134</v>
      </c>
      <c r="I72" s="33">
        <v>5258893076</v>
      </c>
      <c r="T72" s="34">
        <v>95</v>
      </c>
      <c r="U72" s="34">
        <v>110</v>
      </c>
      <c r="AF72" s="34">
        <v>120</v>
      </c>
      <c r="AG72" s="34">
        <v>137</v>
      </c>
      <c r="AR72" s="34">
        <v>305</v>
      </c>
      <c r="AS72" s="34">
        <v>294</v>
      </c>
      <c r="BD72" s="34">
        <v>0.39344262299999999</v>
      </c>
      <c r="BE72" s="34">
        <v>0.46598639460000002</v>
      </c>
    </row>
    <row r="73" spans="1:57" ht="14.25" customHeight="1">
      <c r="A73" s="33">
        <v>202305</v>
      </c>
      <c r="B73" s="34" t="s">
        <v>75</v>
      </c>
      <c r="C73" s="34" t="s">
        <v>246</v>
      </c>
      <c r="D73" s="34" t="s">
        <v>247</v>
      </c>
      <c r="H73" s="33">
        <v>1574023635</v>
      </c>
      <c r="I73" s="33">
        <v>2763409264</v>
      </c>
      <c r="T73" s="34">
        <v>84</v>
      </c>
      <c r="U73" s="34">
        <v>94</v>
      </c>
      <c r="AF73" s="34">
        <v>99</v>
      </c>
      <c r="AG73" s="34">
        <v>94</v>
      </c>
      <c r="AR73" s="34">
        <v>246</v>
      </c>
      <c r="AS73" s="34">
        <v>270</v>
      </c>
      <c r="BD73" s="34">
        <v>0.40243902440000001</v>
      </c>
      <c r="BE73" s="34">
        <v>0.3481481481</v>
      </c>
    </row>
    <row r="74" spans="1:57" ht="14.25" customHeight="1">
      <c r="A74" s="33">
        <v>202305</v>
      </c>
      <c r="B74" s="34" t="s">
        <v>12</v>
      </c>
      <c r="C74" s="34" t="s">
        <v>248</v>
      </c>
      <c r="D74" s="34" t="s">
        <v>249</v>
      </c>
      <c r="I74" s="33">
        <v>2150273582</v>
      </c>
      <c r="U74" s="34">
        <v>48</v>
      </c>
      <c r="AG74" s="34">
        <v>71</v>
      </c>
      <c r="AS74" s="34">
        <v>153</v>
      </c>
      <c r="BE74" s="34">
        <v>0.4640522876</v>
      </c>
    </row>
    <row r="75" spans="1:57" ht="14.25" customHeight="1">
      <c r="A75" s="33">
        <v>202305</v>
      </c>
      <c r="B75" s="34" t="s">
        <v>13</v>
      </c>
      <c r="C75" s="34" t="s">
        <v>250</v>
      </c>
      <c r="D75" s="34" t="s">
        <v>251</v>
      </c>
      <c r="I75" s="33">
        <v>2158377707</v>
      </c>
      <c r="U75" s="34">
        <v>47</v>
      </c>
      <c r="AG75" s="34">
        <v>38</v>
      </c>
      <c r="AS75" s="34">
        <v>176</v>
      </c>
      <c r="BE75" s="34">
        <v>0.21590909089999999</v>
      </c>
    </row>
    <row r="76" spans="1:57" ht="14.25" customHeight="1">
      <c r="A76" s="33">
        <v>202305</v>
      </c>
      <c r="B76" s="34" t="s">
        <v>7</v>
      </c>
      <c r="C76" s="34" t="s">
        <v>252</v>
      </c>
      <c r="D76" s="34" t="s">
        <v>253</v>
      </c>
      <c r="I76" s="33">
        <v>4917267662</v>
      </c>
      <c r="U76" s="34">
        <v>282</v>
      </c>
      <c r="AG76" s="34">
        <v>268</v>
      </c>
      <c r="AS76" s="34">
        <v>537</v>
      </c>
      <c r="BE76" s="34">
        <v>0.49906890129999998</v>
      </c>
    </row>
    <row r="77" spans="1:57" ht="14.25" customHeight="1">
      <c r="A77" s="33">
        <v>202305</v>
      </c>
      <c r="B77" s="34" t="s">
        <v>13</v>
      </c>
      <c r="C77" s="34" t="s">
        <v>254</v>
      </c>
      <c r="D77" s="34" t="s">
        <v>255</v>
      </c>
      <c r="I77" s="33">
        <v>1520861152</v>
      </c>
      <c r="U77" s="34">
        <v>68</v>
      </c>
      <c r="AG77" s="34">
        <v>69</v>
      </c>
      <c r="AS77" s="34">
        <v>156</v>
      </c>
      <c r="BE77" s="34">
        <v>0.4423076923</v>
      </c>
    </row>
    <row r="78" spans="1:57" ht="14.25" customHeight="1">
      <c r="A78" s="33">
        <v>202305</v>
      </c>
      <c r="B78" s="34" t="s">
        <v>12</v>
      </c>
      <c r="C78" s="34" t="s">
        <v>256</v>
      </c>
      <c r="D78" s="34" t="s">
        <v>257</v>
      </c>
      <c r="H78" s="33">
        <v>891401205</v>
      </c>
      <c r="I78" s="33">
        <v>4495883322</v>
      </c>
      <c r="T78" s="34">
        <v>35</v>
      </c>
      <c r="U78" s="34">
        <v>96</v>
      </c>
      <c r="AF78" s="34">
        <v>54</v>
      </c>
      <c r="AG78" s="34">
        <v>116</v>
      </c>
      <c r="AR78" s="34">
        <v>144</v>
      </c>
      <c r="AS78" s="34">
        <v>358</v>
      </c>
      <c r="BD78" s="34">
        <v>0.375</v>
      </c>
      <c r="BE78" s="34">
        <v>0.32402234639999999</v>
      </c>
    </row>
    <row r="79" spans="1:57" ht="14.25" customHeight="1">
      <c r="A79" s="33">
        <v>202305</v>
      </c>
      <c r="B79" s="34" t="s">
        <v>12</v>
      </c>
      <c r="C79" s="34" t="s">
        <v>258</v>
      </c>
      <c r="D79" s="34" t="s">
        <v>259</v>
      </c>
      <c r="H79" s="33">
        <v>880804770</v>
      </c>
      <c r="I79" s="33">
        <v>2410896707</v>
      </c>
      <c r="T79" s="34">
        <v>50</v>
      </c>
      <c r="U79" s="34">
        <v>93</v>
      </c>
      <c r="AF79" s="34">
        <v>70</v>
      </c>
      <c r="AG79" s="34">
        <v>97</v>
      </c>
      <c r="AR79" s="34">
        <v>164</v>
      </c>
      <c r="AS79" s="34">
        <v>191</v>
      </c>
      <c r="BD79" s="34">
        <v>0.42682926830000001</v>
      </c>
      <c r="BE79" s="34">
        <v>0.50785340310000004</v>
      </c>
    </row>
    <row r="80" spans="1:57" ht="14.25" customHeight="1">
      <c r="A80" s="33">
        <v>202305</v>
      </c>
      <c r="B80" s="34" t="s">
        <v>8</v>
      </c>
      <c r="C80" s="34" t="s">
        <v>260</v>
      </c>
      <c r="D80" s="34" t="s">
        <v>98</v>
      </c>
      <c r="E80" s="33">
        <v>2835187466</v>
      </c>
      <c r="F80" s="33">
        <v>246621549</v>
      </c>
      <c r="G80" s="33">
        <v>3183592501</v>
      </c>
      <c r="H80" s="33">
        <v>1092658849</v>
      </c>
      <c r="I80" s="33">
        <v>1262911692</v>
      </c>
      <c r="Q80" s="34">
        <v>139</v>
      </c>
      <c r="R80" s="34">
        <v>22</v>
      </c>
      <c r="S80" s="34">
        <v>59</v>
      </c>
      <c r="T80" s="34">
        <v>119</v>
      </c>
      <c r="U80" s="34">
        <v>152</v>
      </c>
      <c r="AC80" s="34">
        <v>83</v>
      </c>
      <c r="AD80" s="34">
        <v>96</v>
      </c>
      <c r="AE80" s="34">
        <v>162</v>
      </c>
      <c r="AF80" s="34">
        <v>201</v>
      </c>
      <c r="AG80" s="34">
        <v>231</v>
      </c>
      <c r="AO80" s="34">
        <v>154</v>
      </c>
      <c r="AP80" s="34">
        <v>77</v>
      </c>
      <c r="AQ80" s="34">
        <v>190</v>
      </c>
      <c r="AR80" s="34">
        <v>380</v>
      </c>
      <c r="AS80" s="34">
        <v>134</v>
      </c>
      <c r="BA80" s="34">
        <v>0.53896103900000003</v>
      </c>
      <c r="BB80" s="34">
        <v>1.2467532468</v>
      </c>
      <c r="BC80" s="34">
        <v>0.85263157889999996</v>
      </c>
      <c r="BD80" s="34">
        <v>0.52894736840000001</v>
      </c>
      <c r="BE80" s="34">
        <v>1.723880597</v>
      </c>
    </row>
    <row r="81" spans="1:57" ht="14.25" customHeight="1">
      <c r="A81" s="33">
        <v>202305</v>
      </c>
      <c r="B81" s="34" t="s">
        <v>8</v>
      </c>
      <c r="C81" s="34" t="s">
        <v>261</v>
      </c>
      <c r="D81" s="34" t="s">
        <v>87</v>
      </c>
      <c r="E81" s="33">
        <v>2520238934</v>
      </c>
      <c r="F81" s="33">
        <v>1727678161</v>
      </c>
      <c r="G81" s="33">
        <v>2420618868</v>
      </c>
      <c r="H81" s="33">
        <v>4652007362</v>
      </c>
      <c r="I81" s="33">
        <v>3491583635</v>
      </c>
      <c r="Q81" s="34">
        <v>215</v>
      </c>
      <c r="R81" s="34">
        <v>88</v>
      </c>
      <c r="S81" s="34">
        <v>154</v>
      </c>
      <c r="T81" s="34">
        <v>35</v>
      </c>
      <c r="U81" s="34">
        <v>22</v>
      </c>
      <c r="AC81" s="34">
        <v>66</v>
      </c>
      <c r="AD81" s="34">
        <v>101</v>
      </c>
      <c r="AE81" s="34">
        <v>234</v>
      </c>
      <c r="AF81" s="34">
        <v>47</v>
      </c>
      <c r="AG81" s="34">
        <v>66</v>
      </c>
      <c r="AO81" s="34">
        <v>341</v>
      </c>
      <c r="AP81" s="34">
        <v>16</v>
      </c>
      <c r="AQ81" s="34">
        <v>531</v>
      </c>
      <c r="AR81" s="34">
        <v>281</v>
      </c>
      <c r="AS81" s="34">
        <v>244</v>
      </c>
      <c r="BA81" s="34">
        <v>0.1935483871</v>
      </c>
      <c r="BB81" s="34">
        <v>6.3125</v>
      </c>
      <c r="BC81" s="34">
        <v>0.44067796609999998</v>
      </c>
      <c r="BD81" s="34">
        <v>0.16725978650000001</v>
      </c>
      <c r="BE81" s="34">
        <v>0.2704918033</v>
      </c>
    </row>
    <row r="82" spans="1:57" ht="14.25" customHeight="1">
      <c r="A82" s="33">
        <v>202305</v>
      </c>
      <c r="B82" s="34" t="s">
        <v>8</v>
      </c>
      <c r="C82" s="34" t="s">
        <v>262</v>
      </c>
      <c r="D82" s="34" t="s">
        <v>100</v>
      </c>
      <c r="E82" s="33">
        <v>3803165096</v>
      </c>
      <c r="F82" s="33">
        <v>480061218</v>
      </c>
      <c r="G82" s="33">
        <v>3286102799</v>
      </c>
      <c r="H82" s="33">
        <v>1157581780</v>
      </c>
      <c r="I82" s="33">
        <v>6957194302</v>
      </c>
      <c r="Q82" s="34">
        <v>20</v>
      </c>
      <c r="R82" s="34">
        <v>102</v>
      </c>
      <c r="S82" s="34">
        <v>73</v>
      </c>
      <c r="T82" s="34">
        <v>309</v>
      </c>
      <c r="U82" s="34">
        <v>69</v>
      </c>
      <c r="AC82" s="34">
        <v>63</v>
      </c>
      <c r="AD82" s="34">
        <v>46</v>
      </c>
      <c r="AE82" s="34">
        <v>159</v>
      </c>
      <c r="AF82" s="34">
        <v>190</v>
      </c>
      <c r="AG82" s="34">
        <v>26</v>
      </c>
      <c r="AO82" s="34">
        <v>100</v>
      </c>
      <c r="AP82" s="34">
        <v>31</v>
      </c>
      <c r="AQ82" s="34">
        <v>360</v>
      </c>
      <c r="AR82" s="34">
        <v>388</v>
      </c>
      <c r="AS82" s="34">
        <v>373</v>
      </c>
      <c r="BA82" s="34">
        <v>0.63</v>
      </c>
      <c r="BB82" s="34">
        <v>1.4838709676999999</v>
      </c>
      <c r="BC82" s="34">
        <v>0.44166666669999999</v>
      </c>
      <c r="BD82" s="34">
        <v>0.48969072159999999</v>
      </c>
      <c r="BE82" s="34">
        <v>6.9705093800000006E-2</v>
      </c>
    </row>
    <row r="83" spans="1:57" ht="14.25" customHeight="1">
      <c r="A83" s="33">
        <v>202305</v>
      </c>
      <c r="B83" s="34" t="s">
        <v>8</v>
      </c>
      <c r="C83" s="34" t="s">
        <v>263</v>
      </c>
      <c r="D83" s="34" t="s">
        <v>109</v>
      </c>
      <c r="E83" s="33">
        <v>2942388219</v>
      </c>
      <c r="F83" s="33">
        <v>1423362242</v>
      </c>
      <c r="G83" s="33">
        <v>1888790205</v>
      </c>
      <c r="H83" s="33">
        <v>3123850135</v>
      </c>
      <c r="I83" s="33">
        <v>5132400421</v>
      </c>
      <c r="Q83" s="34">
        <v>62</v>
      </c>
      <c r="R83" s="34">
        <v>92</v>
      </c>
      <c r="S83" s="34">
        <v>223</v>
      </c>
      <c r="T83" s="34">
        <v>315</v>
      </c>
      <c r="U83" s="34">
        <v>279</v>
      </c>
      <c r="AC83" s="34">
        <v>105</v>
      </c>
      <c r="AD83" s="34">
        <v>92</v>
      </c>
      <c r="AE83" s="34">
        <v>227</v>
      </c>
      <c r="AF83" s="34">
        <v>50</v>
      </c>
      <c r="AG83" s="34">
        <v>195</v>
      </c>
      <c r="AO83" s="34">
        <v>484</v>
      </c>
      <c r="AP83" s="34">
        <v>266</v>
      </c>
      <c r="AQ83" s="34">
        <v>438</v>
      </c>
      <c r="AR83" s="34">
        <v>461</v>
      </c>
      <c r="AS83" s="34">
        <v>81</v>
      </c>
      <c r="BA83" s="34">
        <v>0.21694214880000001</v>
      </c>
      <c r="BB83" s="34">
        <v>0.34586466170000002</v>
      </c>
      <c r="BC83" s="34">
        <v>0.51826484019999997</v>
      </c>
      <c r="BD83" s="34">
        <v>0.1084598698</v>
      </c>
      <c r="BE83" s="34">
        <v>2.4074074074</v>
      </c>
    </row>
    <row r="84" spans="1:57" ht="14.25" customHeight="1">
      <c r="A84" s="33">
        <v>202305</v>
      </c>
      <c r="B84" s="34" t="s">
        <v>8</v>
      </c>
      <c r="C84" s="34" t="s">
        <v>264</v>
      </c>
      <c r="D84" s="34" t="s">
        <v>102</v>
      </c>
      <c r="E84" s="33">
        <v>1584137582</v>
      </c>
      <c r="F84" s="33">
        <v>1123401767</v>
      </c>
      <c r="G84" s="33">
        <v>1697344667</v>
      </c>
      <c r="H84" s="33">
        <v>4617520520</v>
      </c>
      <c r="I84" s="33">
        <v>677639888</v>
      </c>
      <c r="Q84" s="34">
        <v>190</v>
      </c>
      <c r="R84" s="34">
        <v>61</v>
      </c>
      <c r="S84" s="34">
        <v>168</v>
      </c>
      <c r="T84" s="34">
        <v>327</v>
      </c>
      <c r="U84" s="34">
        <v>228</v>
      </c>
      <c r="AC84" s="34">
        <v>210</v>
      </c>
      <c r="AD84" s="34">
        <v>74</v>
      </c>
      <c r="AE84" s="34">
        <v>74</v>
      </c>
      <c r="AF84" s="34">
        <v>238</v>
      </c>
      <c r="AG84" s="34">
        <v>147</v>
      </c>
      <c r="AO84" s="34">
        <v>521</v>
      </c>
      <c r="AP84" s="34">
        <v>169</v>
      </c>
      <c r="AQ84" s="34">
        <v>320</v>
      </c>
      <c r="AR84" s="34">
        <v>229</v>
      </c>
      <c r="AS84" s="34">
        <v>276</v>
      </c>
      <c r="BA84" s="34">
        <v>0.4030710173</v>
      </c>
      <c r="BB84" s="34">
        <v>0.43786982250000001</v>
      </c>
      <c r="BC84" s="34">
        <v>0.23125000000000001</v>
      </c>
      <c r="BD84" s="34">
        <v>1.0393013099999999</v>
      </c>
      <c r="BE84" s="34">
        <v>0.53260869570000002</v>
      </c>
    </row>
    <row r="85" spans="1:57" ht="14.25" customHeight="1">
      <c r="A85" s="33">
        <v>202305</v>
      </c>
      <c r="B85" s="34" t="s">
        <v>8</v>
      </c>
      <c r="C85" s="34" t="s">
        <v>265</v>
      </c>
      <c r="D85" s="34" t="s">
        <v>92</v>
      </c>
      <c r="E85" s="33">
        <v>2658805633</v>
      </c>
      <c r="F85" s="33">
        <v>1562747111</v>
      </c>
      <c r="G85" s="33">
        <v>1206912741</v>
      </c>
      <c r="H85" s="33">
        <v>1744596497</v>
      </c>
      <c r="I85" s="33">
        <v>479974504</v>
      </c>
      <c r="Q85" s="34">
        <v>228</v>
      </c>
      <c r="R85" s="34">
        <v>39</v>
      </c>
      <c r="S85" s="34">
        <v>198</v>
      </c>
      <c r="T85" s="34">
        <v>264</v>
      </c>
      <c r="U85" s="34">
        <v>111</v>
      </c>
      <c r="AC85" s="34">
        <v>161</v>
      </c>
      <c r="AD85" s="34">
        <v>87</v>
      </c>
      <c r="AE85" s="34">
        <v>181</v>
      </c>
      <c r="AF85" s="34">
        <v>201</v>
      </c>
      <c r="AG85" s="34">
        <v>124</v>
      </c>
      <c r="AO85" s="34">
        <v>475</v>
      </c>
      <c r="AP85" s="34">
        <v>120</v>
      </c>
      <c r="AQ85" s="34">
        <v>237</v>
      </c>
      <c r="AR85" s="34">
        <v>523</v>
      </c>
      <c r="AS85" s="34">
        <v>129</v>
      </c>
      <c r="BA85" s="34">
        <v>0.3389473684</v>
      </c>
      <c r="BB85" s="34">
        <v>0.72499999999999998</v>
      </c>
      <c r="BC85" s="34">
        <v>0.76371308019999995</v>
      </c>
      <c r="BD85" s="34">
        <v>0.38432122369999999</v>
      </c>
      <c r="BE85" s="34">
        <v>0.96124031009999999</v>
      </c>
    </row>
    <row r="86" spans="1:57" ht="14.25" customHeight="1">
      <c r="A86" s="33">
        <v>202305</v>
      </c>
      <c r="B86" s="34" t="s">
        <v>8</v>
      </c>
      <c r="C86" s="34" t="s">
        <v>266</v>
      </c>
      <c r="D86" s="40" t="s">
        <v>101</v>
      </c>
      <c r="E86" s="33">
        <v>2031810123</v>
      </c>
      <c r="F86" s="33">
        <v>878739833</v>
      </c>
      <c r="G86" s="33">
        <v>3008350862</v>
      </c>
      <c r="H86" s="33">
        <v>3633375675</v>
      </c>
      <c r="I86" s="33">
        <v>7551981345</v>
      </c>
      <c r="Q86" s="34">
        <v>78</v>
      </c>
      <c r="R86" s="34">
        <v>72</v>
      </c>
      <c r="S86" s="34">
        <v>195</v>
      </c>
      <c r="T86" s="34">
        <v>325</v>
      </c>
      <c r="U86" s="34">
        <v>150</v>
      </c>
      <c r="AC86" s="34">
        <v>148</v>
      </c>
      <c r="AD86" s="34">
        <v>49</v>
      </c>
      <c r="AE86" s="34">
        <v>77</v>
      </c>
      <c r="AF86" s="34">
        <v>160</v>
      </c>
      <c r="AG86" s="34">
        <v>23</v>
      </c>
      <c r="AO86" s="34">
        <v>555</v>
      </c>
      <c r="AP86" s="34">
        <v>14</v>
      </c>
      <c r="AQ86" s="34">
        <v>492</v>
      </c>
      <c r="AR86" s="34">
        <v>476</v>
      </c>
      <c r="AS86" s="34">
        <v>11</v>
      </c>
      <c r="BA86" s="34">
        <v>0.2666666667</v>
      </c>
      <c r="BB86" s="34">
        <v>3.5</v>
      </c>
      <c r="BC86" s="34">
        <v>0.156504065</v>
      </c>
      <c r="BD86" s="34">
        <v>0.33613445380000001</v>
      </c>
      <c r="BE86" s="34">
        <v>2.0909090908999999</v>
      </c>
    </row>
    <row r="87" spans="1:57" ht="14.25" customHeight="1"/>
    <row r="88" spans="1:57" ht="14.25" customHeight="1"/>
    <row r="89" spans="1:57" ht="14.25" customHeight="1"/>
    <row r="90" spans="1:57" ht="14.25" customHeight="1"/>
    <row r="91" spans="1:57" ht="14.25" customHeight="1"/>
    <row r="92" spans="1:57" ht="14.25" customHeight="1"/>
    <row r="93" spans="1:57" ht="14.25" customHeight="1"/>
    <row r="94" spans="1:57" ht="14.25" customHeight="1"/>
    <row r="95" spans="1:57" ht="14.25" customHeight="1"/>
    <row r="96" spans="1:57"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D1:D86" xr:uid="{00000000-0009-0000-0000-000002000000}"/>
  <mergeCells count="5">
    <mergeCell ref="E1:P1"/>
    <mergeCell ref="Q1:AB1"/>
    <mergeCell ref="AC1:AN1"/>
    <mergeCell ref="AO1:AZ1"/>
    <mergeCell ref="BA1:BL1"/>
  </mergeCells>
  <hyperlinks>
    <hyperlink ref="D43" r:id="rId1" xr:uid="{00000000-0004-0000-0200-000000000000}"/>
    <hyperlink ref="D86" r:id="rId2" xr:uid="{00000000-0004-0000-0200-000001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1"/>
  <sheetViews>
    <sheetView topLeftCell="A43" workbookViewId="0">
      <selection activeCell="A65" sqref="A65"/>
    </sheetView>
  </sheetViews>
  <sheetFormatPr defaultColWidth="14.44140625" defaultRowHeight="15" customHeight="1"/>
  <cols>
    <col min="1" max="1" width="11.5546875" customWidth="1"/>
    <col min="2" max="2" width="13.6640625" customWidth="1"/>
    <col min="3" max="4" width="8.6640625" customWidth="1"/>
    <col min="5" max="5" width="8" customWidth="1"/>
    <col min="6" max="6" width="19.33203125" customWidth="1"/>
    <col min="7" max="7" width="32.6640625" customWidth="1"/>
    <col min="8" max="9" width="8.6640625" customWidth="1"/>
    <col min="10" max="10" width="48.6640625" customWidth="1"/>
    <col min="11" max="26" width="8.6640625" customWidth="1"/>
  </cols>
  <sheetData>
    <row r="1" spans="1:11" ht="14.25" customHeight="1">
      <c r="A1" s="41" t="s">
        <v>267</v>
      </c>
      <c r="B1" s="42" t="s">
        <v>268</v>
      </c>
      <c r="E1" s="146" t="s">
        <v>269</v>
      </c>
      <c r="F1" s="147"/>
      <c r="G1" s="148"/>
      <c r="J1" s="43" t="s">
        <v>270</v>
      </c>
      <c r="K1" s="36" t="s">
        <v>271</v>
      </c>
    </row>
    <row r="2" spans="1:11" ht="14.25" customHeight="1">
      <c r="A2" s="44" t="s">
        <v>272</v>
      </c>
      <c r="B2" s="45" t="s">
        <v>273</v>
      </c>
      <c r="E2" s="46" t="s">
        <v>274</v>
      </c>
      <c r="F2" s="47" t="s">
        <v>275</v>
      </c>
      <c r="G2" s="47" t="s">
        <v>276</v>
      </c>
      <c r="J2" s="48" t="s">
        <v>277</v>
      </c>
      <c r="K2" s="34" t="s">
        <v>278</v>
      </c>
    </row>
    <row r="3" spans="1:11" ht="14.25" customHeight="1">
      <c r="A3" s="49" t="s">
        <v>279</v>
      </c>
      <c r="B3" s="45" t="s">
        <v>280</v>
      </c>
      <c r="E3" s="50" t="s">
        <v>281</v>
      </c>
      <c r="F3" s="44" t="s">
        <v>282</v>
      </c>
      <c r="G3" s="44" t="s">
        <v>283</v>
      </c>
      <c r="J3" s="48" t="s">
        <v>284</v>
      </c>
      <c r="K3" s="34" t="s">
        <v>110</v>
      </c>
    </row>
    <row r="4" spans="1:11" ht="14.25" customHeight="1">
      <c r="A4" s="49" t="s">
        <v>285</v>
      </c>
      <c r="B4" s="45" t="s">
        <v>286</v>
      </c>
      <c r="E4" s="50" t="s">
        <v>287</v>
      </c>
      <c r="F4" s="44" t="s">
        <v>288</v>
      </c>
      <c r="G4" s="44" t="s">
        <v>289</v>
      </c>
      <c r="J4" s="51" t="s">
        <v>290</v>
      </c>
    </row>
    <row r="5" spans="1:11" ht="14.25" customHeight="1">
      <c r="A5" s="49" t="s">
        <v>291</v>
      </c>
      <c r="B5" s="45" t="s">
        <v>292</v>
      </c>
      <c r="E5" s="50" t="s">
        <v>86</v>
      </c>
      <c r="F5" s="44" t="s">
        <v>293</v>
      </c>
      <c r="G5" s="44" t="s">
        <v>294</v>
      </c>
      <c r="J5" s="51" t="s">
        <v>295</v>
      </c>
    </row>
    <row r="6" spans="1:11" ht="14.25" customHeight="1">
      <c r="A6" s="49" t="s">
        <v>296</v>
      </c>
      <c r="B6" s="45" t="s">
        <v>297</v>
      </c>
      <c r="E6" s="50" t="s">
        <v>298</v>
      </c>
      <c r="F6" s="44" t="s">
        <v>299</v>
      </c>
      <c r="G6" s="44" t="s">
        <v>267</v>
      </c>
      <c r="J6" s="51" t="s">
        <v>300</v>
      </c>
    </row>
    <row r="7" spans="1:11" ht="14.25" customHeight="1">
      <c r="A7" s="49" t="s">
        <v>301</v>
      </c>
      <c r="B7" s="45" t="s">
        <v>302</v>
      </c>
      <c r="E7" s="50" t="s">
        <v>303</v>
      </c>
      <c r="F7" s="44" t="s">
        <v>304</v>
      </c>
      <c r="G7" s="44" t="s">
        <v>305</v>
      </c>
      <c r="J7" s="51" t="s">
        <v>306</v>
      </c>
    </row>
    <row r="8" spans="1:11" ht="14.25" customHeight="1">
      <c r="A8" s="49" t="s">
        <v>307</v>
      </c>
      <c r="B8" s="45" t="s">
        <v>308</v>
      </c>
      <c r="E8" s="52"/>
      <c r="F8" s="52"/>
      <c r="G8" s="52"/>
      <c r="J8" s="51" t="s">
        <v>291</v>
      </c>
    </row>
    <row r="9" spans="1:11" ht="14.25" customHeight="1">
      <c r="A9" s="49" t="s">
        <v>309</v>
      </c>
      <c r="B9" s="45" t="s">
        <v>310</v>
      </c>
      <c r="E9" s="53" t="s">
        <v>110</v>
      </c>
      <c r="F9" s="54" t="s">
        <v>289</v>
      </c>
      <c r="G9" s="55"/>
      <c r="J9" s="51" t="s">
        <v>311</v>
      </c>
    </row>
    <row r="10" spans="1:11" ht="14.25" customHeight="1">
      <c r="A10" s="49" t="s">
        <v>312</v>
      </c>
      <c r="B10" s="45" t="s">
        <v>313</v>
      </c>
      <c r="E10" s="56" t="s">
        <v>278</v>
      </c>
      <c r="F10" s="49" t="s">
        <v>272</v>
      </c>
      <c r="G10" s="55"/>
      <c r="J10" s="51" t="s">
        <v>314</v>
      </c>
    </row>
    <row r="11" spans="1:11" ht="14.25" customHeight="1">
      <c r="A11" s="49" t="s">
        <v>315</v>
      </c>
      <c r="B11" s="45" t="s">
        <v>316</v>
      </c>
      <c r="E11" s="56" t="s">
        <v>110</v>
      </c>
      <c r="F11" s="49" t="s">
        <v>7</v>
      </c>
      <c r="G11" s="125"/>
      <c r="J11" s="51" t="s">
        <v>285</v>
      </c>
    </row>
    <row r="12" spans="1:11" ht="14.25" customHeight="1">
      <c r="A12" s="49" t="s">
        <v>317</v>
      </c>
      <c r="B12" s="45" t="s">
        <v>318</v>
      </c>
      <c r="E12" s="56" t="s">
        <v>86</v>
      </c>
      <c r="F12" s="49" t="s">
        <v>8</v>
      </c>
      <c r="G12" s="125"/>
      <c r="J12" s="51" t="s">
        <v>319</v>
      </c>
    </row>
    <row r="13" spans="1:11" ht="14.25" customHeight="1">
      <c r="A13" s="49" t="s">
        <v>320</v>
      </c>
      <c r="B13" s="45" t="s">
        <v>321</v>
      </c>
      <c r="E13" s="56" t="s">
        <v>74</v>
      </c>
      <c r="F13" s="49" t="s">
        <v>75</v>
      </c>
      <c r="G13" s="125"/>
      <c r="J13" s="48" t="s">
        <v>322</v>
      </c>
      <c r="K13" s="34" t="s">
        <v>86</v>
      </c>
    </row>
    <row r="14" spans="1:11" ht="14.25" customHeight="1">
      <c r="A14" s="49" t="s">
        <v>323</v>
      </c>
      <c r="B14" s="45" t="s">
        <v>324</v>
      </c>
      <c r="E14" s="56" t="s">
        <v>81</v>
      </c>
      <c r="F14" s="49" t="s">
        <v>10</v>
      </c>
      <c r="G14" s="125"/>
      <c r="J14" s="51" t="s">
        <v>325</v>
      </c>
    </row>
    <row r="15" spans="1:11" ht="14.25" customHeight="1">
      <c r="A15" s="49" t="s">
        <v>311</v>
      </c>
      <c r="B15" s="45" t="s">
        <v>326</v>
      </c>
      <c r="E15" s="56" t="s">
        <v>77</v>
      </c>
      <c r="F15" s="49" t="s">
        <v>11</v>
      </c>
      <c r="G15" s="125"/>
      <c r="J15" s="51" t="s">
        <v>327</v>
      </c>
    </row>
    <row r="16" spans="1:11" ht="14.25" customHeight="1">
      <c r="A16" s="49" t="s">
        <v>328</v>
      </c>
      <c r="B16" s="45" t="s">
        <v>329</v>
      </c>
      <c r="E16" s="56" t="s">
        <v>104</v>
      </c>
      <c r="F16" s="49" t="s">
        <v>12</v>
      </c>
      <c r="G16" s="125"/>
      <c r="J16" s="51" t="s">
        <v>330</v>
      </c>
    </row>
    <row r="17" spans="1:11" ht="14.25" customHeight="1">
      <c r="A17" s="49" t="s">
        <v>331</v>
      </c>
      <c r="B17" s="45" t="s">
        <v>332</v>
      </c>
      <c r="E17" s="56" t="s">
        <v>112</v>
      </c>
      <c r="F17" s="49" t="s">
        <v>13</v>
      </c>
      <c r="G17" s="125"/>
      <c r="J17" s="51" t="s">
        <v>333</v>
      </c>
    </row>
    <row r="18" spans="1:11" ht="14.25" customHeight="1">
      <c r="A18" s="49" t="s">
        <v>334</v>
      </c>
      <c r="B18" s="45" t="s">
        <v>335</v>
      </c>
      <c r="E18" s="57"/>
      <c r="F18" s="58"/>
      <c r="G18" s="125"/>
      <c r="J18" s="51" t="s">
        <v>336</v>
      </c>
    </row>
    <row r="19" spans="1:11" ht="14.25" customHeight="1">
      <c r="A19" s="49" t="s">
        <v>330</v>
      </c>
      <c r="B19" s="45" t="s">
        <v>337</v>
      </c>
      <c r="E19" s="59"/>
      <c r="F19" s="55"/>
      <c r="G19" s="55"/>
      <c r="J19" s="48" t="s">
        <v>338</v>
      </c>
      <c r="K19" s="34" t="s">
        <v>74</v>
      </c>
    </row>
    <row r="20" spans="1:11" ht="14.25" customHeight="1">
      <c r="A20" s="49" t="s">
        <v>339</v>
      </c>
      <c r="B20" s="45" t="s">
        <v>340</v>
      </c>
      <c r="E20" s="149" t="s">
        <v>341</v>
      </c>
      <c r="F20" s="150"/>
      <c r="G20" s="151"/>
      <c r="J20" s="51" t="s">
        <v>342</v>
      </c>
    </row>
    <row r="21" spans="1:11" ht="14.25" customHeight="1">
      <c r="A21" s="49" t="s">
        <v>343</v>
      </c>
      <c r="B21" s="45" t="s">
        <v>344</v>
      </c>
      <c r="E21" s="152"/>
      <c r="F21" s="153"/>
      <c r="G21" s="154"/>
      <c r="J21" s="51" t="s">
        <v>345</v>
      </c>
    </row>
    <row r="22" spans="1:11" ht="14.25" customHeight="1">
      <c r="A22" s="49" t="s">
        <v>346</v>
      </c>
      <c r="B22" s="45" t="s">
        <v>347</v>
      </c>
      <c r="E22" s="152"/>
      <c r="F22" s="153"/>
      <c r="G22" s="154"/>
      <c r="J22" s="51" t="s">
        <v>348</v>
      </c>
    </row>
    <row r="23" spans="1:11" ht="14.25" customHeight="1">
      <c r="A23" s="49" t="s">
        <v>290</v>
      </c>
      <c r="B23" s="45" t="s">
        <v>349</v>
      </c>
      <c r="E23" s="152"/>
      <c r="F23" s="153"/>
      <c r="G23" s="154"/>
      <c r="J23" s="51" t="s">
        <v>301</v>
      </c>
    </row>
    <row r="24" spans="1:11" ht="14.25" customHeight="1">
      <c r="A24" s="49" t="s">
        <v>350</v>
      </c>
      <c r="B24" s="45" t="s">
        <v>351</v>
      </c>
      <c r="E24" s="155"/>
      <c r="F24" s="156"/>
      <c r="G24" s="157"/>
      <c r="J24" s="51" t="s">
        <v>352</v>
      </c>
    </row>
    <row r="25" spans="1:11" ht="14.25" customHeight="1">
      <c r="A25" s="49" t="s">
        <v>342</v>
      </c>
      <c r="B25" s="45" t="s">
        <v>353</v>
      </c>
      <c r="E25" s="59"/>
      <c r="F25" s="52"/>
      <c r="G25" s="55"/>
      <c r="J25" s="51" t="s">
        <v>354</v>
      </c>
    </row>
    <row r="26" spans="1:11" ht="14.25" customHeight="1">
      <c r="A26" s="49" t="s">
        <v>355</v>
      </c>
      <c r="B26" s="45" t="s">
        <v>356</v>
      </c>
      <c r="E26" s="59"/>
      <c r="F26" s="52"/>
      <c r="G26" s="55"/>
      <c r="J26" s="51" t="s">
        <v>357</v>
      </c>
    </row>
    <row r="27" spans="1:11" ht="14.25" customHeight="1">
      <c r="A27" s="49" t="s">
        <v>354</v>
      </c>
      <c r="B27" s="45" t="s">
        <v>358</v>
      </c>
      <c r="E27" s="158" t="s">
        <v>359</v>
      </c>
      <c r="F27" s="153"/>
      <c r="G27" s="153"/>
      <c r="J27" s="51" t="s">
        <v>360</v>
      </c>
    </row>
    <row r="28" spans="1:11" ht="14.25" customHeight="1">
      <c r="A28" s="49" t="s">
        <v>345</v>
      </c>
      <c r="B28" s="45" t="s">
        <v>361</v>
      </c>
      <c r="E28" s="60" t="s">
        <v>362</v>
      </c>
      <c r="F28" s="61" t="s">
        <v>363</v>
      </c>
      <c r="G28" s="61" t="s">
        <v>364</v>
      </c>
      <c r="J28" s="51" t="s">
        <v>365</v>
      </c>
    </row>
    <row r="29" spans="1:11" ht="14.25" customHeight="1">
      <c r="A29" s="49" t="s">
        <v>366</v>
      </c>
      <c r="B29" s="45" t="s">
        <v>367</v>
      </c>
      <c r="E29" s="62">
        <v>1</v>
      </c>
      <c r="F29" s="63" t="s">
        <v>368</v>
      </c>
      <c r="G29" s="44" t="s">
        <v>369</v>
      </c>
      <c r="J29" s="51" t="s">
        <v>350</v>
      </c>
    </row>
    <row r="30" spans="1:11" ht="14.25" customHeight="1">
      <c r="A30" s="49"/>
      <c r="B30" s="64"/>
      <c r="E30" s="62">
        <v>2</v>
      </c>
      <c r="F30" s="63" t="s">
        <v>370</v>
      </c>
      <c r="G30" s="44" t="s">
        <v>371</v>
      </c>
      <c r="J30" s="48"/>
    </row>
    <row r="31" spans="1:11" ht="14.25" customHeight="1">
      <c r="A31" s="49" t="s">
        <v>372</v>
      </c>
      <c r="B31" s="45" t="s">
        <v>373</v>
      </c>
      <c r="E31" s="62">
        <v>3</v>
      </c>
      <c r="F31" s="63" t="s">
        <v>374</v>
      </c>
      <c r="G31" s="44" t="s">
        <v>375</v>
      </c>
      <c r="J31" s="48" t="s">
        <v>376</v>
      </c>
      <c r="K31" s="34" t="s">
        <v>81</v>
      </c>
    </row>
    <row r="32" spans="1:11" ht="14.25" customHeight="1">
      <c r="A32" s="49" t="s">
        <v>336</v>
      </c>
      <c r="B32" s="45" t="s">
        <v>377</v>
      </c>
      <c r="E32" s="62">
        <v>4</v>
      </c>
      <c r="F32" s="63" t="s">
        <v>378</v>
      </c>
      <c r="G32" s="44" t="s">
        <v>379</v>
      </c>
      <c r="J32" s="51" t="s">
        <v>380</v>
      </c>
    </row>
    <row r="33" spans="1:11" ht="14.25" customHeight="1">
      <c r="A33" s="49" t="s">
        <v>352</v>
      </c>
      <c r="B33" s="45" t="s">
        <v>381</v>
      </c>
      <c r="E33" s="62">
        <v>5</v>
      </c>
      <c r="F33" s="63" t="s">
        <v>382</v>
      </c>
      <c r="G33" s="65" t="s">
        <v>383</v>
      </c>
      <c r="J33" s="51" t="s">
        <v>384</v>
      </c>
    </row>
    <row r="34" spans="1:11" ht="14.25" customHeight="1">
      <c r="A34" s="49" t="s">
        <v>385</v>
      </c>
      <c r="B34" s="45" t="s">
        <v>386</v>
      </c>
      <c r="E34" s="59"/>
      <c r="F34" s="52"/>
      <c r="G34" s="55"/>
      <c r="J34" s="51" t="s">
        <v>355</v>
      </c>
    </row>
    <row r="35" spans="1:11" ht="14.25" customHeight="1">
      <c r="A35" s="49" t="s">
        <v>387</v>
      </c>
      <c r="B35" s="45" t="s">
        <v>388</v>
      </c>
      <c r="E35" s="59"/>
      <c r="F35" s="52"/>
      <c r="G35" s="55"/>
      <c r="J35" s="51" t="s">
        <v>389</v>
      </c>
    </row>
    <row r="36" spans="1:11" ht="14.25" customHeight="1">
      <c r="A36" s="49" t="s">
        <v>390</v>
      </c>
      <c r="B36" s="45" t="s">
        <v>391</v>
      </c>
      <c r="E36" s="59"/>
      <c r="F36" s="52"/>
      <c r="G36" s="55"/>
      <c r="J36" s="51" t="s">
        <v>392</v>
      </c>
    </row>
    <row r="37" spans="1:11" ht="14.25" customHeight="1">
      <c r="A37" s="49" t="s">
        <v>393</v>
      </c>
      <c r="B37" s="45" t="s">
        <v>394</v>
      </c>
      <c r="E37" s="59"/>
      <c r="F37" s="52"/>
      <c r="G37" s="55"/>
      <c r="J37" s="51" t="s">
        <v>395</v>
      </c>
    </row>
    <row r="38" spans="1:11" ht="14.25" customHeight="1">
      <c r="A38" s="49" t="s">
        <v>396</v>
      </c>
      <c r="B38" s="45" t="s">
        <v>397</v>
      </c>
      <c r="E38" s="59"/>
      <c r="F38" s="52"/>
      <c r="G38" s="55"/>
      <c r="J38" s="48" t="s">
        <v>398</v>
      </c>
      <c r="K38" s="34" t="s">
        <v>77</v>
      </c>
    </row>
    <row r="39" spans="1:11" ht="14.25" customHeight="1">
      <c r="A39" s="49" t="s">
        <v>314</v>
      </c>
      <c r="B39" s="45" t="s">
        <v>399</v>
      </c>
      <c r="E39" s="59"/>
      <c r="F39" s="52"/>
      <c r="G39" s="55"/>
      <c r="J39" s="51" t="s">
        <v>328</v>
      </c>
    </row>
    <row r="40" spans="1:11" ht="14.25" customHeight="1">
      <c r="A40" s="49" t="s">
        <v>325</v>
      </c>
      <c r="B40" s="45" t="s">
        <v>400</v>
      </c>
      <c r="E40" s="59"/>
      <c r="F40" s="52"/>
      <c r="G40" s="55"/>
      <c r="J40" s="51" t="s">
        <v>401</v>
      </c>
    </row>
    <row r="41" spans="1:11" ht="14.25" customHeight="1">
      <c r="A41" s="49" t="s">
        <v>402</v>
      </c>
      <c r="B41" s="45" t="s">
        <v>403</v>
      </c>
      <c r="E41" s="59"/>
      <c r="F41" s="52"/>
      <c r="G41" s="55"/>
      <c r="J41" s="51" t="s">
        <v>404</v>
      </c>
    </row>
    <row r="42" spans="1:11" ht="14.25" customHeight="1">
      <c r="A42" s="49" t="s">
        <v>360</v>
      </c>
      <c r="B42" s="45" t="s">
        <v>405</v>
      </c>
      <c r="E42" s="59"/>
      <c r="F42" s="52"/>
      <c r="G42" s="55"/>
      <c r="J42" s="51" t="s">
        <v>309</v>
      </c>
    </row>
    <row r="43" spans="1:11" ht="14.25" customHeight="1">
      <c r="A43" s="49" t="s">
        <v>384</v>
      </c>
      <c r="B43" s="45" t="s">
        <v>406</v>
      </c>
      <c r="E43" s="59"/>
      <c r="F43" s="52"/>
      <c r="G43" s="55"/>
      <c r="J43" s="51" t="s">
        <v>407</v>
      </c>
    </row>
    <row r="44" spans="1:11" ht="14.25" customHeight="1">
      <c r="A44" s="49" t="s">
        <v>365</v>
      </c>
      <c r="B44" s="45" t="s">
        <v>408</v>
      </c>
      <c r="E44" s="59"/>
      <c r="F44" s="52"/>
      <c r="G44" s="55"/>
      <c r="J44" s="51" t="s">
        <v>409</v>
      </c>
    </row>
    <row r="45" spans="1:11" ht="14.25" customHeight="1">
      <c r="A45" s="49" t="s">
        <v>410</v>
      </c>
      <c r="B45" s="45" t="s">
        <v>411</v>
      </c>
      <c r="E45" s="59"/>
      <c r="F45" s="52"/>
      <c r="G45" s="55"/>
      <c r="J45" s="51" t="s">
        <v>410</v>
      </c>
    </row>
    <row r="46" spans="1:11" ht="14.25" customHeight="1">
      <c r="A46" s="49" t="s">
        <v>300</v>
      </c>
      <c r="B46" s="45" t="s">
        <v>412</v>
      </c>
      <c r="E46" s="59"/>
      <c r="F46" s="52"/>
      <c r="G46" s="55"/>
      <c r="J46" s="51" t="s">
        <v>317</v>
      </c>
    </row>
    <row r="47" spans="1:11" ht="14.25" customHeight="1">
      <c r="A47" s="49" t="s">
        <v>407</v>
      </c>
      <c r="B47" s="45" t="s">
        <v>413</v>
      </c>
      <c r="E47" s="59"/>
      <c r="F47" s="52"/>
      <c r="G47" s="55"/>
      <c r="J47" s="51" t="s">
        <v>390</v>
      </c>
    </row>
    <row r="48" spans="1:11" ht="14.25" customHeight="1">
      <c r="A48" s="49" t="s">
        <v>389</v>
      </c>
      <c r="B48" s="45" t="s">
        <v>414</v>
      </c>
      <c r="E48" s="59"/>
      <c r="F48" s="52"/>
      <c r="G48" s="55"/>
      <c r="J48" s="51" t="s">
        <v>346</v>
      </c>
    </row>
    <row r="49" spans="1:11" ht="14.25" customHeight="1">
      <c r="A49" s="49" t="s">
        <v>401</v>
      </c>
      <c r="B49" s="45" t="s">
        <v>415</v>
      </c>
      <c r="E49" s="59"/>
      <c r="F49" s="52"/>
      <c r="G49" s="55"/>
      <c r="J49" s="51" t="s">
        <v>416</v>
      </c>
    </row>
    <row r="50" spans="1:11" ht="14.25" customHeight="1">
      <c r="A50" s="49" t="s">
        <v>404</v>
      </c>
      <c r="B50" s="45" t="s">
        <v>417</v>
      </c>
      <c r="E50" s="59"/>
      <c r="F50" s="52"/>
      <c r="G50" s="55"/>
      <c r="J50" s="51" t="s">
        <v>418</v>
      </c>
    </row>
    <row r="51" spans="1:11" ht="14.25" customHeight="1">
      <c r="A51" s="49" t="s">
        <v>319</v>
      </c>
      <c r="B51" s="45" t="s">
        <v>419</v>
      </c>
      <c r="E51" s="59"/>
      <c r="F51" s="52"/>
      <c r="G51" s="55"/>
      <c r="J51" s="51" t="s">
        <v>396</v>
      </c>
    </row>
    <row r="52" spans="1:11" ht="14.25" customHeight="1">
      <c r="A52" s="49" t="s">
        <v>392</v>
      </c>
      <c r="B52" s="45" t="s">
        <v>420</v>
      </c>
      <c r="E52" s="59"/>
      <c r="F52" s="52"/>
      <c r="G52" s="55"/>
      <c r="J52" s="48" t="s">
        <v>421</v>
      </c>
      <c r="K52" s="34" t="s">
        <v>104</v>
      </c>
    </row>
    <row r="53" spans="1:11" ht="14.25" customHeight="1">
      <c r="A53" s="49" t="s">
        <v>422</v>
      </c>
      <c r="B53" s="45" t="s">
        <v>423</v>
      </c>
      <c r="E53" s="59"/>
      <c r="F53" s="52"/>
      <c r="G53" s="55"/>
      <c r="J53" s="51" t="s">
        <v>323</v>
      </c>
    </row>
    <row r="54" spans="1:11" ht="14.25" customHeight="1">
      <c r="A54" s="49" t="s">
        <v>333</v>
      </c>
      <c r="B54" s="45" t="s">
        <v>424</v>
      </c>
      <c r="E54" s="59"/>
      <c r="F54" s="52"/>
      <c r="G54" s="55"/>
      <c r="J54" s="51" t="s">
        <v>402</v>
      </c>
    </row>
    <row r="55" spans="1:11" ht="14.25" customHeight="1">
      <c r="A55" s="49" t="s">
        <v>425</v>
      </c>
      <c r="B55" s="45" t="s">
        <v>426</v>
      </c>
      <c r="E55" s="59"/>
      <c r="F55" s="52"/>
      <c r="G55" s="55"/>
      <c r="J55" s="51" t="s">
        <v>343</v>
      </c>
    </row>
    <row r="56" spans="1:11" ht="14.25" customHeight="1">
      <c r="A56" s="49" t="s">
        <v>357</v>
      </c>
      <c r="B56" s="45" t="s">
        <v>427</v>
      </c>
      <c r="E56" s="59"/>
      <c r="F56" s="52"/>
      <c r="G56" s="55"/>
      <c r="J56" s="51" t="s">
        <v>428</v>
      </c>
    </row>
    <row r="57" spans="1:11" ht="14.25" customHeight="1">
      <c r="A57" s="49" t="s">
        <v>306</v>
      </c>
      <c r="B57" s="45" t="s">
        <v>429</v>
      </c>
      <c r="E57" s="59"/>
      <c r="F57" s="52"/>
      <c r="G57" s="55"/>
      <c r="J57" s="51" t="s">
        <v>279</v>
      </c>
    </row>
    <row r="58" spans="1:11" ht="14.25" customHeight="1">
      <c r="A58" s="49" t="s">
        <v>430</v>
      </c>
      <c r="B58" s="45" t="s">
        <v>431</v>
      </c>
      <c r="E58" s="59"/>
      <c r="F58" s="52"/>
      <c r="G58" s="55"/>
      <c r="J58" s="51" t="s">
        <v>307</v>
      </c>
    </row>
    <row r="59" spans="1:11" ht="14.25" customHeight="1">
      <c r="A59" s="49" t="s">
        <v>432</v>
      </c>
      <c r="B59" s="45" t="s">
        <v>433</v>
      </c>
      <c r="E59" s="59"/>
      <c r="F59" s="52"/>
      <c r="G59" s="55"/>
      <c r="J59" s="51" t="s">
        <v>434</v>
      </c>
    </row>
    <row r="60" spans="1:11" ht="14.25" customHeight="1">
      <c r="A60" s="49" t="s">
        <v>428</v>
      </c>
      <c r="B60" s="45" t="s">
        <v>435</v>
      </c>
      <c r="E60" s="59"/>
      <c r="F60" s="52"/>
      <c r="G60" s="55"/>
      <c r="J60" s="51" t="s">
        <v>436</v>
      </c>
    </row>
    <row r="61" spans="1:11" ht="14.25" customHeight="1">
      <c r="A61" s="49" t="s">
        <v>436</v>
      </c>
      <c r="B61" s="45" t="s">
        <v>437</v>
      </c>
      <c r="E61" s="59"/>
      <c r="F61" s="52"/>
      <c r="G61" s="55"/>
      <c r="J61" s="51" t="s">
        <v>366</v>
      </c>
    </row>
    <row r="62" spans="1:11" ht="14.25" customHeight="1">
      <c r="A62" s="49" t="s">
        <v>295</v>
      </c>
      <c r="B62" s="45" t="s">
        <v>438</v>
      </c>
      <c r="E62" s="59"/>
      <c r="F62" s="52"/>
      <c r="G62" s="55"/>
      <c r="J62" s="51" t="s">
        <v>387</v>
      </c>
    </row>
    <row r="63" spans="1:11" ht="14.25" customHeight="1">
      <c r="A63" s="49" t="s">
        <v>434</v>
      </c>
      <c r="B63" s="45" t="s">
        <v>439</v>
      </c>
      <c r="E63" s="59"/>
      <c r="F63" s="52"/>
      <c r="G63" s="55"/>
      <c r="J63" s="51" t="s">
        <v>422</v>
      </c>
    </row>
    <row r="64" spans="1:11" ht="14.25" customHeight="1">
      <c r="A64" s="49" t="s">
        <v>348</v>
      </c>
      <c r="B64" s="45" t="s">
        <v>440</v>
      </c>
      <c r="E64" s="59"/>
      <c r="F64" s="52"/>
      <c r="G64" s="55"/>
      <c r="J64" s="51" t="s">
        <v>296</v>
      </c>
    </row>
    <row r="65" spans="1:11" ht="14.25" customHeight="1">
      <c r="A65" s="49" t="s">
        <v>441</v>
      </c>
      <c r="B65" s="45" t="s">
        <v>442</v>
      </c>
      <c r="E65" s="59"/>
      <c r="F65" s="52"/>
      <c r="G65" s="55"/>
      <c r="J65" s="51" t="s">
        <v>320</v>
      </c>
    </row>
    <row r="66" spans="1:11" ht="14.25" customHeight="1">
      <c r="A66" s="49" t="s">
        <v>327</v>
      </c>
      <c r="B66" s="45" t="s">
        <v>443</v>
      </c>
      <c r="E66" s="59"/>
      <c r="F66" s="52"/>
      <c r="G66" s="55"/>
      <c r="J66" s="48" t="s">
        <v>444</v>
      </c>
      <c r="K66" s="34" t="s">
        <v>112</v>
      </c>
    </row>
    <row r="67" spans="1:11" ht="14.25" customHeight="1">
      <c r="A67" s="49"/>
      <c r="B67" s="64"/>
      <c r="E67" s="59"/>
      <c r="F67" s="52"/>
      <c r="G67" s="55"/>
      <c r="J67" s="51" t="s">
        <v>445</v>
      </c>
    </row>
    <row r="68" spans="1:11" ht="14.25" customHeight="1">
      <c r="E68" s="59"/>
      <c r="F68" s="52"/>
      <c r="G68" s="55"/>
      <c r="J68" s="51" t="s">
        <v>446</v>
      </c>
    </row>
    <row r="69" spans="1:11" ht="14.25" customHeight="1">
      <c r="E69" s="59"/>
      <c r="F69" s="52"/>
      <c r="G69" s="55"/>
      <c r="J69" s="51" t="s">
        <v>312</v>
      </c>
    </row>
    <row r="70" spans="1:11" ht="14.25" customHeight="1">
      <c r="E70" s="59"/>
      <c r="F70" s="52"/>
      <c r="G70" s="55"/>
      <c r="J70" s="51" t="s">
        <v>315</v>
      </c>
    </row>
    <row r="71" spans="1:11" ht="14.25" customHeight="1">
      <c r="E71" s="59"/>
      <c r="F71" s="52"/>
      <c r="G71" s="55"/>
      <c r="J71" s="51" t="s">
        <v>339</v>
      </c>
    </row>
    <row r="72" spans="1:11" ht="14.25" customHeight="1">
      <c r="E72" s="59"/>
      <c r="F72" s="52"/>
      <c r="G72" s="55"/>
      <c r="J72" s="51" t="s">
        <v>425</v>
      </c>
    </row>
    <row r="73" spans="1:11" ht="14.25" customHeight="1">
      <c r="E73" s="59"/>
      <c r="F73" s="52"/>
      <c r="G73" s="55"/>
      <c r="J73" s="66"/>
    </row>
    <row r="74" spans="1:11" ht="14.25" customHeight="1">
      <c r="E74" s="59"/>
      <c r="F74" s="52"/>
      <c r="G74" s="55"/>
      <c r="J74" s="66"/>
    </row>
    <row r="75" spans="1:11" ht="14.25" customHeight="1">
      <c r="E75" s="59"/>
      <c r="F75" s="52"/>
      <c r="G75" s="55"/>
      <c r="J75" s="66"/>
    </row>
    <row r="76" spans="1:11" ht="14.25" customHeight="1">
      <c r="E76" s="59"/>
      <c r="F76" s="52"/>
      <c r="G76" s="52"/>
      <c r="J76" s="66"/>
    </row>
    <row r="77" spans="1:11" ht="14.25" customHeight="1">
      <c r="E77" s="59"/>
      <c r="F77" s="52"/>
      <c r="G77" s="52"/>
      <c r="J77" s="66"/>
    </row>
    <row r="78" spans="1:11" ht="14.25" customHeight="1">
      <c r="E78" s="59"/>
      <c r="F78" s="52"/>
      <c r="G78" s="52"/>
      <c r="J78" s="66"/>
    </row>
    <row r="79" spans="1:11" ht="14.25" customHeight="1">
      <c r="E79" s="59"/>
      <c r="F79" s="52"/>
      <c r="G79" s="52"/>
      <c r="J79" s="66"/>
    </row>
    <row r="80" spans="1:11" ht="14.25" customHeight="1">
      <c r="E80" s="59"/>
      <c r="F80" s="52"/>
      <c r="G80" s="52"/>
      <c r="J80" s="67"/>
    </row>
    <row r="81" spans="5:10" ht="14.25" customHeight="1">
      <c r="E81" s="59"/>
      <c r="F81" s="52"/>
      <c r="G81" s="52"/>
      <c r="J81" s="66"/>
    </row>
    <row r="82" spans="5:10" ht="14.25" customHeight="1">
      <c r="E82" s="59"/>
      <c r="F82" s="52"/>
      <c r="G82" s="52"/>
      <c r="J82" s="66"/>
    </row>
    <row r="83" spans="5:10" ht="14.25" customHeight="1">
      <c r="E83" s="59"/>
      <c r="F83" s="52"/>
      <c r="G83" s="52"/>
      <c r="J83" s="66"/>
    </row>
    <row r="84" spans="5:10" ht="14.25" customHeight="1">
      <c r="J84" s="66"/>
    </row>
    <row r="85" spans="5:10" ht="14.25" customHeight="1">
      <c r="J85" s="66"/>
    </row>
    <row r="86" spans="5:10" ht="14.25" customHeight="1">
      <c r="J86" s="66"/>
    </row>
    <row r="87" spans="5:10" ht="14.25" customHeight="1"/>
    <row r="88" spans="5:10" ht="14.25" customHeight="1"/>
    <row r="89" spans="5:10" ht="14.25" customHeight="1"/>
    <row r="90" spans="5:10" ht="14.25" customHeight="1"/>
    <row r="91" spans="5:10" ht="14.25" customHeight="1"/>
    <row r="92" spans="5:10" ht="14.25" customHeight="1"/>
    <row r="93" spans="5:10" ht="14.25" customHeight="1"/>
    <row r="94" spans="5:10" ht="14.25" customHeight="1"/>
    <row r="95" spans="5:10" ht="14.25" customHeight="1"/>
    <row r="96" spans="5:10"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3">
    <mergeCell ref="E1:G1"/>
    <mergeCell ref="E20:G24"/>
    <mergeCell ref="E27:G2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B2" zoomScale="90" zoomScaleNormal="90" workbookViewId="0">
      <selection activeCell="E9" sqref="E9"/>
    </sheetView>
  </sheetViews>
  <sheetFormatPr defaultColWidth="14.44140625" defaultRowHeight="15" customHeight="1"/>
  <cols>
    <col min="1" max="1" width="44.6640625" customWidth="1"/>
    <col min="2" max="2" width="99.88671875" customWidth="1"/>
    <col min="3" max="3" width="11.5546875" customWidth="1"/>
    <col min="4" max="4" width="17.33203125" customWidth="1"/>
    <col min="5" max="5" width="106.109375" customWidth="1"/>
    <col min="6" max="6" width="107" customWidth="1"/>
    <col min="7" max="7" width="100.88671875" customWidth="1"/>
    <col min="8" max="8" width="98.44140625" customWidth="1"/>
    <col min="9" max="9" width="6.6640625" customWidth="1"/>
    <col min="10" max="26" width="8.6640625" customWidth="1"/>
  </cols>
  <sheetData>
    <row r="1" spans="1:26" ht="14.25" customHeight="1">
      <c r="A1" s="68" t="s">
        <v>447</v>
      </c>
      <c r="B1" s="69" t="s">
        <v>448</v>
      </c>
      <c r="C1" s="69" t="s">
        <v>449</v>
      </c>
      <c r="D1" s="70" t="s">
        <v>450</v>
      </c>
      <c r="E1" s="69" t="s">
        <v>451</v>
      </c>
      <c r="F1" s="69" t="s">
        <v>452</v>
      </c>
      <c r="G1" s="69" t="s">
        <v>453</v>
      </c>
      <c r="H1" s="69" t="s">
        <v>454</v>
      </c>
      <c r="I1" s="69" t="s">
        <v>455</v>
      </c>
      <c r="J1" s="71"/>
      <c r="K1" s="71"/>
      <c r="L1" s="71"/>
      <c r="M1" s="71"/>
      <c r="N1" s="71"/>
      <c r="O1" s="71"/>
      <c r="P1" s="71"/>
      <c r="Q1" s="71"/>
      <c r="R1" s="71"/>
      <c r="S1" s="71"/>
      <c r="T1" s="71"/>
      <c r="U1" s="71"/>
      <c r="V1" s="71"/>
      <c r="W1" s="71"/>
      <c r="X1" s="71"/>
      <c r="Y1" s="71"/>
      <c r="Z1" s="71"/>
    </row>
    <row r="2" spans="1:26" ht="14.25" customHeight="1">
      <c r="A2" s="72">
        <v>1</v>
      </c>
      <c r="B2" s="73" t="s">
        <v>456</v>
      </c>
      <c r="C2" s="74" t="s">
        <v>457</v>
      </c>
      <c r="D2" s="75" t="s">
        <v>458</v>
      </c>
      <c r="E2" s="73" t="s">
        <v>459</v>
      </c>
      <c r="F2" s="76"/>
      <c r="G2" s="76"/>
      <c r="H2" s="76"/>
      <c r="I2" s="76"/>
      <c r="J2" s="71"/>
      <c r="K2" s="71"/>
      <c r="L2" s="71"/>
      <c r="M2" s="71"/>
      <c r="N2" s="71"/>
      <c r="O2" s="71"/>
      <c r="P2" s="71"/>
      <c r="Q2" s="71"/>
      <c r="R2" s="71"/>
      <c r="S2" s="71"/>
      <c r="T2" s="71"/>
      <c r="U2" s="71"/>
      <c r="V2" s="71"/>
      <c r="W2" s="71"/>
      <c r="X2" s="71"/>
      <c r="Y2" s="71"/>
      <c r="Z2" s="71"/>
    </row>
    <row r="3" spans="1:26" ht="14.25" customHeight="1">
      <c r="A3" s="77">
        <v>2</v>
      </c>
      <c r="B3" s="78" t="s">
        <v>460</v>
      </c>
      <c r="C3" s="74" t="s">
        <v>457</v>
      </c>
      <c r="D3" s="75" t="s">
        <v>458</v>
      </c>
      <c r="E3" s="79" t="s">
        <v>461</v>
      </c>
      <c r="F3" s="79"/>
      <c r="G3" s="79"/>
      <c r="H3" s="79"/>
      <c r="I3" s="78"/>
      <c r="J3" s="71"/>
      <c r="K3" s="71"/>
      <c r="L3" s="71"/>
      <c r="M3" s="71"/>
      <c r="N3" s="71"/>
      <c r="O3" s="71"/>
      <c r="P3" s="71"/>
      <c r="Q3" s="71"/>
      <c r="R3" s="71"/>
      <c r="S3" s="71"/>
      <c r="T3" s="71"/>
      <c r="U3" s="71"/>
      <c r="V3" s="71"/>
      <c r="W3" s="71"/>
      <c r="X3" s="71"/>
      <c r="Y3" s="71"/>
      <c r="Z3" s="71"/>
    </row>
    <row r="4" spans="1:26" ht="14.25" customHeight="1">
      <c r="A4" s="77">
        <f t="shared" ref="A4:A13" si="0">A3+1</f>
        <v>3</v>
      </c>
      <c r="B4" s="80" t="s">
        <v>462</v>
      </c>
      <c r="C4" s="74" t="s">
        <v>457</v>
      </c>
      <c r="D4" s="75" t="s">
        <v>458</v>
      </c>
      <c r="E4" s="79" t="s">
        <v>463</v>
      </c>
      <c r="F4" s="79"/>
      <c r="G4" s="79"/>
      <c r="H4" s="79"/>
      <c r="I4" s="80"/>
      <c r="J4" s="71"/>
      <c r="K4" s="71"/>
      <c r="L4" s="71"/>
      <c r="M4" s="71"/>
      <c r="N4" s="71"/>
      <c r="O4" s="71"/>
      <c r="P4" s="71"/>
      <c r="Q4" s="71"/>
      <c r="R4" s="71"/>
      <c r="S4" s="71"/>
      <c r="T4" s="71"/>
      <c r="U4" s="71"/>
      <c r="V4" s="71"/>
      <c r="W4" s="71"/>
      <c r="X4" s="71"/>
      <c r="Y4" s="71"/>
      <c r="Z4" s="71"/>
    </row>
    <row r="5" spans="1:26" ht="14.25" customHeight="1">
      <c r="A5" s="77">
        <f t="shared" si="0"/>
        <v>4</v>
      </c>
      <c r="B5" s="80" t="s">
        <v>464</v>
      </c>
      <c r="C5" s="74" t="s">
        <v>457</v>
      </c>
      <c r="D5" s="75" t="s">
        <v>458</v>
      </c>
      <c r="E5" s="79" t="s">
        <v>465</v>
      </c>
      <c r="F5" s="79"/>
      <c r="G5" s="79"/>
      <c r="H5" s="79"/>
      <c r="I5" s="81"/>
      <c r="J5" s="71"/>
      <c r="K5" s="71"/>
      <c r="L5" s="71"/>
      <c r="M5" s="71"/>
      <c r="N5" s="71"/>
      <c r="O5" s="71"/>
      <c r="P5" s="71"/>
      <c r="Q5" s="71"/>
      <c r="R5" s="71"/>
      <c r="S5" s="71"/>
      <c r="T5" s="71"/>
      <c r="U5" s="71"/>
      <c r="V5" s="71"/>
      <c r="W5" s="71"/>
      <c r="X5" s="71"/>
      <c r="Y5" s="71"/>
      <c r="Z5" s="71"/>
    </row>
    <row r="6" spans="1:26" ht="14.25" customHeight="1">
      <c r="A6" s="77">
        <f t="shared" si="0"/>
        <v>5</v>
      </c>
      <c r="B6" s="80" t="s">
        <v>466</v>
      </c>
      <c r="C6" s="74" t="s">
        <v>457</v>
      </c>
      <c r="D6" s="75" t="s">
        <v>458</v>
      </c>
      <c r="E6" s="79" t="s">
        <v>467</v>
      </c>
      <c r="F6" s="82" t="s">
        <v>468</v>
      </c>
      <c r="G6" s="82" t="s">
        <v>469</v>
      </c>
      <c r="H6" s="82" t="s">
        <v>470</v>
      </c>
      <c r="I6" s="81"/>
      <c r="J6" s="71"/>
      <c r="K6" s="71"/>
      <c r="L6" s="71"/>
      <c r="M6" s="71"/>
      <c r="N6" s="71"/>
      <c r="O6" s="71"/>
      <c r="P6" s="71"/>
      <c r="Q6" s="71"/>
      <c r="R6" s="71"/>
      <c r="S6" s="71"/>
      <c r="T6" s="71"/>
      <c r="U6" s="71"/>
      <c r="V6" s="71"/>
      <c r="W6" s="71"/>
      <c r="X6" s="71"/>
      <c r="Y6" s="71"/>
      <c r="Z6" s="71"/>
    </row>
    <row r="7" spans="1:26" ht="14.25" customHeight="1">
      <c r="A7" s="77">
        <f t="shared" si="0"/>
        <v>6</v>
      </c>
      <c r="B7" s="80" t="s">
        <v>471</v>
      </c>
      <c r="C7" s="74" t="s">
        <v>457</v>
      </c>
      <c r="D7" s="75" t="s">
        <v>458</v>
      </c>
      <c r="E7" s="79" t="s">
        <v>472</v>
      </c>
      <c r="F7" s="82" t="s">
        <v>473</v>
      </c>
      <c r="G7" s="82" t="s">
        <v>469</v>
      </c>
      <c r="H7" s="82" t="s">
        <v>474</v>
      </c>
      <c r="I7" s="81"/>
      <c r="J7" s="71"/>
      <c r="K7" s="71"/>
      <c r="L7" s="71"/>
      <c r="M7" s="71"/>
      <c r="N7" s="71"/>
      <c r="O7" s="71"/>
      <c r="P7" s="71"/>
      <c r="Q7" s="71"/>
      <c r="R7" s="71"/>
      <c r="S7" s="71"/>
      <c r="T7" s="71"/>
      <c r="U7" s="71"/>
      <c r="V7" s="71"/>
      <c r="W7" s="71"/>
      <c r="X7" s="71"/>
      <c r="Y7" s="71"/>
      <c r="Z7" s="71"/>
    </row>
    <row r="8" spans="1:26" ht="14.25" customHeight="1">
      <c r="A8" s="77">
        <f t="shared" si="0"/>
        <v>7</v>
      </c>
      <c r="B8" s="80" t="s">
        <v>475</v>
      </c>
      <c r="C8" s="74" t="s">
        <v>457</v>
      </c>
      <c r="D8" s="75" t="s">
        <v>458</v>
      </c>
      <c r="E8" s="79" t="s">
        <v>476</v>
      </c>
      <c r="F8" s="82" t="s">
        <v>477</v>
      </c>
      <c r="G8" s="82" t="s">
        <v>469</v>
      </c>
      <c r="H8" s="82" t="s">
        <v>478</v>
      </c>
      <c r="I8" s="81"/>
      <c r="J8" s="71"/>
      <c r="K8" s="71"/>
      <c r="L8" s="71"/>
      <c r="M8" s="71"/>
      <c r="N8" s="71"/>
      <c r="O8" s="71"/>
      <c r="P8" s="71"/>
      <c r="Q8" s="71"/>
      <c r="R8" s="71"/>
      <c r="S8" s="71"/>
      <c r="T8" s="71"/>
      <c r="U8" s="71"/>
      <c r="V8" s="71"/>
      <c r="W8" s="71"/>
      <c r="X8" s="71"/>
      <c r="Y8" s="71"/>
      <c r="Z8" s="71"/>
    </row>
    <row r="9" spans="1:26" ht="14.25" customHeight="1">
      <c r="A9" s="77">
        <f t="shared" si="0"/>
        <v>8</v>
      </c>
      <c r="B9" s="80" t="s">
        <v>479</v>
      </c>
      <c r="C9" s="74" t="s">
        <v>480</v>
      </c>
      <c r="D9" s="75" t="s">
        <v>481</v>
      </c>
      <c r="E9" s="79" t="s">
        <v>482</v>
      </c>
      <c r="F9" s="82" t="s">
        <v>483</v>
      </c>
      <c r="G9" s="82" t="s">
        <v>484</v>
      </c>
      <c r="H9" s="79"/>
      <c r="I9" s="81"/>
      <c r="J9" s="71"/>
      <c r="K9" s="71"/>
      <c r="L9" s="71"/>
      <c r="M9" s="71"/>
      <c r="N9" s="71"/>
      <c r="O9" s="71"/>
      <c r="P9" s="71"/>
      <c r="Q9" s="71"/>
      <c r="R9" s="71"/>
      <c r="S9" s="71"/>
      <c r="T9" s="71"/>
      <c r="U9" s="71"/>
      <c r="V9" s="71"/>
      <c r="W9" s="71"/>
      <c r="X9" s="71"/>
      <c r="Y9" s="71"/>
      <c r="Z9" s="71"/>
    </row>
    <row r="10" spans="1:26" ht="14.25" customHeight="1">
      <c r="A10" s="77">
        <f t="shared" si="0"/>
        <v>9</v>
      </c>
      <c r="B10" s="80" t="s">
        <v>485</v>
      </c>
      <c r="C10" s="74" t="s">
        <v>480</v>
      </c>
      <c r="D10" s="75" t="s">
        <v>481</v>
      </c>
      <c r="E10" s="79" t="s">
        <v>486</v>
      </c>
      <c r="F10" s="82" t="s">
        <v>483</v>
      </c>
      <c r="G10" s="82" t="s">
        <v>484</v>
      </c>
      <c r="H10" s="79"/>
      <c r="I10" s="81"/>
      <c r="J10" s="71"/>
      <c r="K10" s="71"/>
      <c r="L10" s="71"/>
      <c r="M10" s="71"/>
      <c r="N10" s="71"/>
      <c r="O10" s="71"/>
      <c r="P10" s="71"/>
      <c r="Q10" s="71"/>
      <c r="R10" s="71"/>
      <c r="S10" s="71"/>
      <c r="T10" s="71"/>
      <c r="U10" s="71"/>
      <c r="V10" s="71"/>
      <c r="W10" s="71"/>
      <c r="X10" s="71"/>
      <c r="Y10" s="71"/>
      <c r="Z10" s="71"/>
    </row>
    <row r="11" spans="1:26" ht="14.25" customHeight="1">
      <c r="A11" s="77">
        <f t="shared" si="0"/>
        <v>10</v>
      </c>
      <c r="B11" s="80" t="s">
        <v>487</v>
      </c>
      <c r="C11" s="81"/>
      <c r="D11" s="83"/>
      <c r="E11" s="79" t="s">
        <v>488</v>
      </c>
      <c r="F11" s="84" t="s">
        <v>489</v>
      </c>
      <c r="G11" s="79"/>
      <c r="H11" s="79"/>
      <c r="I11" s="81"/>
      <c r="J11" s="71"/>
      <c r="K11" s="71"/>
      <c r="L11" s="71"/>
      <c r="M11" s="71"/>
      <c r="N11" s="71"/>
      <c r="O11" s="71"/>
      <c r="P11" s="71"/>
      <c r="Q11" s="71"/>
      <c r="R11" s="71"/>
      <c r="S11" s="71"/>
      <c r="T11" s="71"/>
      <c r="U11" s="71"/>
      <c r="V11" s="71"/>
      <c r="W11" s="71"/>
      <c r="X11" s="71"/>
      <c r="Y11" s="71"/>
      <c r="Z11" s="71"/>
    </row>
    <row r="12" spans="1:26" ht="14.25" customHeight="1">
      <c r="A12" s="85">
        <f t="shared" si="0"/>
        <v>11</v>
      </c>
      <c r="B12" s="86" t="s">
        <v>490</v>
      </c>
      <c r="C12" s="87"/>
      <c r="D12" s="88"/>
      <c r="E12" s="86" t="s">
        <v>491</v>
      </c>
      <c r="F12" s="89"/>
      <c r="G12" s="89"/>
      <c r="H12" s="89"/>
      <c r="I12" s="87"/>
      <c r="J12" s="71"/>
      <c r="K12" s="71"/>
      <c r="L12" s="71"/>
      <c r="M12" s="71"/>
      <c r="N12" s="71"/>
      <c r="O12" s="71"/>
      <c r="P12" s="71"/>
      <c r="Q12" s="71"/>
      <c r="R12" s="71"/>
      <c r="S12" s="71"/>
      <c r="T12" s="71"/>
      <c r="U12" s="71"/>
      <c r="V12" s="71"/>
      <c r="W12" s="71"/>
      <c r="X12" s="71"/>
      <c r="Y12" s="71"/>
      <c r="Z12" s="71"/>
    </row>
    <row r="13" spans="1:26" ht="14.25" customHeight="1">
      <c r="A13" s="77">
        <f t="shared" si="0"/>
        <v>12</v>
      </c>
      <c r="B13" s="80" t="s">
        <v>492</v>
      </c>
      <c r="C13" s="74"/>
      <c r="D13" s="75" t="s">
        <v>495</v>
      </c>
      <c r="E13" s="79"/>
      <c r="F13" s="79"/>
      <c r="G13" s="79"/>
      <c r="H13" s="81" t="s">
        <v>493</v>
      </c>
      <c r="I13" s="81" t="s">
        <v>110</v>
      </c>
      <c r="J13" s="71"/>
      <c r="K13" s="71"/>
      <c r="L13" s="71"/>
      <c r="M13" s="71"/>
      <c r="N13" s="71"/>
      <c r="O13" s="71"/>
      <c r="P13" s="71"/>
      <c r="Q13" s="71"/>
      <c r="R13" s="71"/>
      <c r="S13" s="71"/>
      <c r="T13" s="71"/>
      <c r="U13" s="71"/>
      <c r="V13" s="71"/>
      <c r="W13" s="71"/>
      <c r="X13" s="71"/>
      <c r="Y13" s="71"/>
      <c r="Z13" s="71"/>
    </row>
    <row r="14" spans="1:26" ht="14.25" customHeight="1">
      <c r="A14" s="90"/>
      <c r="B14" s="91" t="s">
        <v>16</v>
      </c>
      <c r="C14" s="74" t="s">
        <v>494</v>
      </c>
      <c r="E14" s="79" t="s">
        <v>496</v>
      </c>
      <c r="F14" s="79" t="s">
        <v>497</v>
      </c>
      <c r="G14" s="79" t="s">
        <v>498</v>
      </c>
      <c r="H14" s="79" t="s">
        <v>499</v>
      </c>
      <c r="I14" s="81" t="s">
        <v>500</v>
      </c>
      <c r="J14" s="71"/>
      <c r="K14" s="71"/>
      <c r="L14" s="71"/>
      <c r="M14" s="71"/>
      <c r="N14" s="71"/>
      <c r="O14" s="71"/>
      <c r="P14" s="71"/>
      <c r="Q14" s="71"/>
      <c r="R14" s="71"/>
      <c r="S14" s="71"/>
      <c r="T14" s="71"/>
      <c r="U14" s="71"/>
      <c r="V14" s="71"/>
      <c r="W14" s="71"/>
      <c r="X14" s="71"/>
      <c r="Y14" s="71"/>
      <c r="Z14" s="71"/>
    </row>
    <row r="15" spans="1:26" ht="14.25" customHeight="1">
      <c r="A15" s="90"/>
      <c r="B15" s="91" t="s">
        <v>17</v>
      </c>
      <c r="C15" s="74" t="s">
        <v>494</v>
      </c>
      <c r="D15" s="75" t="s">
        <v>495</v>
      </c>
      <c r="E15" s="79" t="s">
        <v>501</v>
      </c>
      <c r="F15" s="79" t="s">
        <v>502</v>
      </c>
      <c r="G15" s="79" t="s">
        <v>503</v>
      </c>
      <c r="H15" s="79" t="s">
        <v>499</v>
      </c>
      <c r="I15" s="81" t="s">
        <v>504</v>
      </c>
      <c r="J15" s="71"/>
      <c r="K15" s="71"/>
      <c r="L15" s="71"/>
      <c r="M15" s="71"/>
      <c r="N15" s="71"/>
      <c r="O15" s="71"/>
      <c r="P15" s="71"/>
      <c r="Q15" s="71"/>
      <c r="R15" s="71"/>
      <c r="S15" s="71"/>
      <c r="T15" s="71"/>
      <c r="U15" s="71"/>
      <c r="V15" s="71"/>
      <c r="W15" s="71"/>
      <c r="X15" s="71"/>
      <c r="Y15" s="71"/>
      <c r="Z15" s="71"/>
    </row>
    <row r="16" spans="1:26" ht="14.25" customHeight="1">
      <c r="A16" s="90"/>
      <c r="B16" s="91" t="s">
        <v>505</v>
      </c>
      <c r="C16" s="74" t="s">
        <v>494</v>
      </c>
      <c r="D16" s="75" t="s">
        <v>495</v>
      </c>
      <c r="E16" s="82" t="s">
        <v>506</v>
      </c>
      <c r="F16" s="79" t="s">
        <v>502</v>
      </c>
      <c r="G16" s="79" t="s">
        <v>507</v>
      </c>
      <c r="H16" s="79" t="s">
        <v>499</v>
      </c>
      <c r="I16" s="81" t="s">
        <v>508</v>
      </c>
      <c r="J16" s="71"/>
      <c r="K16" s="71"/>
      <c r="L16" s="71"/>
      <c r="M16" s="71"/>
      <c r="N16" s="71"/>
      <c r="O16" s="71"/>
      <c r="P16" s="71"/>
      <c r="Q16" s="71"/>
      <c r="R16" s="71"/>
      <c r="S16" s="71"/>
      <c r="T16" s="71"/>
      <c r="U16" s="71"/>
      <c r="V16" s="71"/>
      <c r="W16" s="71"/>
      <c r="X16" s="71"/>
      <c r="Y16" s="71"/>
      <c r="Z16" s="71"/>
    </row>
    <row r="17" spans="1:26" ht="14.25" customHeight="1">
      <c r="A17" s="90"/>
      <c r="B17" s="91" t="s">
        <v>19</v>
      </c>
      <c r="C17" s="74" t="s">
        <v>494</v>
      </c>
      <c r="D17" s="75" t="s">
        <v>495</v>
      </c>
      <c r="E17" s="82" t="s">
        <v>509</v>
      </c>
      <c r="F17" s="79" t="s">
        <v>502</v>
      </c>
      <c r="G17" s="79" t="s">
        <v>510</v>
      </c>
      <c r="H17" s="79" t="s">
        <v>499</v>
      </c>
      <c r="I17" s="81" t="s">
        <v>511</v>
      </c>
      <c r="J17" s="71"/>
      <c r="K17" s="71"/>
      <c r="L17" s="71"/>
      <c r="M17" s="71"/>
      <c r="N17" s="71"/>
      <c r="O17" s="71"/>
      <c r="P17" s="71"/>
      <c r="Q17" s="71"/>
      <c r="R17" s="71"/>
      <c r="S17" s="71"/>
      <c r="T17" s="71"/>
      <c r="U17" s="71"/>
      <c r="V17" s="71"/>
      <c r="W17" s="71"/>
      <c r="X17" s="71"/>
      <c r="Y17" s="71"/>
      <c r="Z17" s="71"/>
    </row>
    <row r="18" spans="1:26" ht="14.25" customHeight="1">
      <c r="A18" s="90"/>
      <c r="B18" s="91" t="s">
        <v>512</v>
      </c>
      <c r="C18" s="74" t="s">
        <v>494</v>
      </c>
      <c r="D18" s="75" t="s">
        <v>495</v>
      </c>
      <c r="E18" s="79" t="s">
        <v>513</v>
      </c>
      <c r="F18" s="79" t="s">
        <v>502</v>
      </c>
      <c r="G18" s="79" t="s">
        <v>514</v>
      </c>
      <c r="H18" s="79" t="s">
        <v>499</v>
      </c>
      <c r="I18" s="81" t="s">
        <v>515</v>
      </c>
      <c r="J18" s="71"/>
      <c r="K18" s="71"/>
      <c r="L18" s="71"/>
      <c r="M18" s="71"/>
      <c r="N18" s="71"/>
      <c r="O18" s="71"/>
      <c r="P18" s="71"/>
      <c r="Q18" s="71"/>
      <c r="R18" s="71"/>
      <c r="S18" s="71"/>
      <c r="T18" s="71"/>
      <c r="U18" s="71"/>
      <c r="V18" s="71"/>
      <c r="W18" s="71"/>
      <c r="X18" s="71"/>
      <c r="Y18" s="71"/>
      <c r="Z18" s="71"/>
    </row>
    <row r="19" spans="1:26" ht="14.25" customHeight="1">
      <c r="A19" s="77">
        <f>A13+1</f>
        <v>13</v>
      </c>
      <c r="B19" s="80" t="s">
        <v>21</v>
      </c>
      <c r="C19" s="74"/>
      <c r="D19" s="75" t="s">
        <v>495</v>
      </c>
      <c r="E19" s="79"/>
      <c r="F19" s="79"/>
      <c r="G19" s="79"/>
      <c r="H19" s="81" t="s">
        <v>516</v>
      </c>
      <c r="I19" s="81" t="s">
        <v>86</v>
      </c>
      <c r="J19" s="71"/>
      <c r="K19" s="71"/>
      <c r="L19" s="71"/>
      <c r="M19" s="71"/>
      <c r="N19" s="71"/>
      <c r="O19" s="71"/>
      <c r="P19" s="71"/>
      <c r="Q19" s="71"/>
      <c r="R19" s="71"/>
      <c r="S19" s="71"/>
      <c r="T19" s="71"/>
      <c r="U19" s="71"/>
      <c r="V19" s="71"/>
      <c r="W19" s="71"/>
      <c r="X19" s="71"/>
      <c r="Y19" s="71"/>
      <c r="Z19" s="71"/>
    </row>
    <row r="20" spans="1:26" ht="14.25" customHeight="1">
      <c r="A20" s="90"/>
      <c r="B20" s="91" t="s">
        <v>25</v>
      </c>
      <c r="C20" s="74" t="s">
        <v>480</v>
      </c>
      <c r="D20" s="75" t="s">
        <v>495</v>
      </c>
      <c r="E20" s="79" t="s">
        <v>517</v>
      </c>
      <c r="F20" s="79" t="s">
        <v>518</v>
      </c>
      <c r="G20" s="79" t="s">
        <v>519</v>
      </c>
      <c r="H20" s="79"/>
      <c r="I20" s="81" t="s">
        <v>520</v>
      </c>
      <c r="J20" s="71"/>
      <c r="K20" s="71"/>
      <c r="L20" s="71"/>
      <c r="M20" s="71"/>
      <c r="N20" s="71"/>
      <c r="O20" s="71"/>
      <c r="P20" s="71"/>
      <c r="Q20" s="71"/>
      <c r="R20" s="71"/>
      <c r="S20" s="71"/>
      <c r="T20" s="71"/>
      <c r="U20" s="71"/>
      <c r="V20" s="71"/>
      <c r="W20" s="71"/>
      <c r="X20" s="71"/>
      <c r="Y20" s="71"/>
      <c r="Z20" s="71"/>
    </row>
    <row r="21" spans="1:26" ht="14.25" customHeight="1">
      <c r="A21" s="90"/>
      <c r="B21" s="91" t="s">
        <v>521</v>
      </c>
      <c r="C21" s="74" t="s">
        <v>480</v>
      </c>
      <c r="D21" s="75" t="s">
        <v>495</v>
      </c>
      <c r="E21" s="79" t="s">
        <v>522</v>
      </c>
      <c r="F21" s="79" t="s">
        <v>518</v>
      </c>
      <c r="G21" s="79" t="s">
        <v>519</v>
      </c>
      <c r="H21" s="79"/>
      <c r="I21" s="81" t="s">
        <v>523</v>
      </c>
      <c r="J21" s="71"/>
      <c r="K21" s="71"/>
      <c r="L21" s="71"/>
      <c r="M21" s="71"/>
      <c r="N21" s="71"/>
      <c r="O21" s="71"/>
      <c r="P21" s="71"/>
      <c r="Q21" s="71"/>
      <c r="R21" s="71"/>
      <c r="S21" s="71"/>
      <c r="T21" s="71"/>
      <c r="U21" s="71"/>
      <c r="V21" s="71"/>
      <c r="W21" s="71"/>
      <c r="X21" s="71"/>
      <c r="Y21" s="71"/>
      <c r="Z21" s="71"/>
    </row>
    <row r="22" spans="1:26" ht="14.25" customHeight="1">
      <c r="A22" s="90"/>
      <c r="B22" s="91" t="s">
        <v>524</v>
      </c>
      <c r="C22" s="74" t="s">
        <v>480</v>
      </c>
      <c r="D22" s="75" t="s">
        <v>495</v>
      </c>
      <c r="E22" s="79" t="s">
        <v>525</v>
      </c>
      <c r="F22" s="79" t="s">
        <v>518</v>
      </c>
      <c r="G22" s="79" t="s">
        <v>519</v>
      </c>
      <c r="H22" s="79"/>
      <c r="I22" s="81" t="s">
        <v>526</v>
      </c>
      <c r="J22" s="71"/>
      <c r="K22" s="71"/>
      <c r="L22" s="71"/>
      <c r="M22" s="71"/>
      <c r="N22" s="71"/>
      <c r="O22" s="71"/>
      <c r="P22" s="71"/>
      <c r="Q22" s="71"/>
      <c r="R22" s="71"/>
      <c r="S22" s="71"/>
      <c r="T22" s="71"/>
      <c r="U22" s="71"/>
      <c r="V22" s="71"/>
      <c r="W22" s="71"/>
      <c r="X22" s="71"/>
      <c r="Y22" s="71"/>
      <c r="Z22" s="71"/>
    </row>
    <row r="23" spans="1:26" ht="14.25" customHeight="1">
      <c r="A23" s="77">
        <f>A19+1</f>
        <v>14</v>
      </c>
      <c r="B23" s="92" t="s">
        <v>26</v>
      </c>
      <c r="C23" s="74"/>
      <c r="D23" s="75"/>
      <c r="E23" s="79"/>
      <c r="F23" s="79"/>
      <c r="G23" s="79"/>
      <c r="H23" s="81" t="s">
        <v>527</v>
      </c>
      <c r="I23" s="81" t="s">
        <v>74</v>
      </c>
      <c r="J23" s="71"/>
      <c r="K23" s="71"/>
      <c r="L23" s="71"/>
      <c r="M23" s="71"/>
      <c r="N23" s="71"/>
      <c r="O23" s="71"/>
      <c r="P23" s="71"/>
      <c r="Q23" s="71"/>
      <c r="R23" s="71"/>
      <c r="S23" s="71"/>
      <c r="T23" s="71"/>
      <c r="U23" s="71"/>
      <c r="V23" s="71"/>
      <c r="W23" s="71"/>
      <c r="X23" s="71"/>
      <c r="Y23" s="71"/>
      <c r="Z23" s="71"/>
    </row>
    <row r="24" spans="1:26" ht="14.25" customHeight="1">
      <c r="A24" s="90"/>
      <c r="B24" s="91" t="s">
        <v>528</v>
      </c>
      <c r="C24" s="74" t="s">
        <v>494</v>
      </c>
      <c r="D24" s="75" t="s">
        <v>495</v>
      </c>
      <c r="E24" s="79" t="s">
        <v>529</v>
      </c>
      <c r="F24" s="79" t="s">
        <v>502</v>
      </c>
      <c r="G24" s="79" t="s">
        <v>530</v>
      </c>
      <c r="H24" s="79" t="s">
        <v>499</v>
      </c>
      <c r="I24" s="81" t="s">
        <v>531</v>
      </c>
      <c r="J24" s="71"/>
      <c r="K24" s="71"/>
      <c r="L24" s="71"/>
      <c r="M24" s="71"/>
      <c r="N24" s="71"/>
      <c r="O24" s="71"/>
      <c r="P24" s="71"/>
      <c r="Q24" s="71"/>
      <c r="R24" s="71"/>
      <c r="S24" s="71"/>
      <c r="T24" s="71"/>
      <c r="U24" s="71"/>
      <c r="V24" s="71"/>
      <c r="W24" s="71"/>
      <c r="X24" s="71"/>
      <c r="Y24" s="71"/>
      <c r="Z24" s="71"/>
    </row>
    <row r="25" spans="1:26" ht="84.75" customHeight="1">
      <c r="A25" s="90"/>
      <c r="B25" s="91" t="s">
        <v>532</v>
      </c>
      <c r="C25" s="74" t="s">
        <v>494</v>
      </c>
      <c r="D25" s="75" t="s">
        <v>495</v>
      </c>
      <c r="E25" s="79" t="s">
        <v>533</v>
      </c>
      <c r="F25" s="79" t="s">
        <v>502</v>
      </c>
      <c r="G25" s="79" t="s">
        <v>530</v>
      </c>
      <c r="H25" s="79" t="s">
        <v>499</v>
      </c>
      <c r="I25" s="81" t="s">
        <v>534</v>
      </c>
      <c r="J25" s="71"/>
      <c r="K25" s="71"/>
      <c r="L25" s="71"/>
      <c r="M25" s="71"/>
      <c r="N25" s="71"/>
      <c r="O25" s="71"/>
      <c r="P25" s="71"/>
      <c r="Q25" s="71"/>
      <c r="R25" s="71"/>
      <c r="S25" s="71"/>
      <c r="T25" s="71"/>
      <c r="U25" s="71"/>
      <c r="V25" s="71"/>
      <c r="W25" s="71"/>
      <c r="X25" s="71"/>
      <c r="Y25" s="71"/>
      <c r="Z25" s="71"/>
    </row>
    <row r="26" spans="1:26" ht="42" customHeight="1">
      <c r="A26" s="90"/>
      <c r="B26" s="91" t="s">
        <v>535</v>
      </c>
      <c r="C26" s="74" t="s">
        <v>494</v>
      </c>
      <c r="D26" s="75" t="s">
        <v>495</v>
      </c>
      <c r="E26" s="79" t="s">
        <v>536</v>
      </c>
      <c r="F26" s="79" t="s">
        <v>502</v>
      </c>
      <c r="G26" s="79" t="s">
        <v>530</v>
      </c>
      <c r="H26" s="79" t="s">
        <v>499</v>
      </c>
      <c r="I26" s="81" t="s">
        <v>537</v>
      </c>
      <c r="J26" s="71"/>
      <c r="K26" s="71"/>
      <c r="L26" s="71"/>
      <c r="M26" s="71"/>
      <c r="N26" s="71"/>
      <c r="O26" s="71"/>
      <c r="P26" s="71"/>
      <c r="Q26" s="71"/>
      <c r="R26" s="71"/>
      <c r="S26" s="71"/>
      <c r="T26" s="71"/>
      <c r="U26" s="71"/>
      <c r="V26" s="71"/>
      <c r="W26" s="71"/>
      <c r="X26" s="71"/>
      <c r="Y26" s="71"/>
      <c r="Z26" s="71"/>
    </row>
    <row r="27" spans="1:26" ht="14.25" customHeight="1">
      <c r="A27" s="77">
        <f>A23+1</f>
        <v>15</v>
      </c>
      <c r="B27" s="80" t="s">
        <v>33</v>
      </c>
      <c r="C27" s="74"/>
      <c r="D27" s="75"/>
      <c r="E27" s="79"/>
      <c r="F27" s="79"/>
      <c r="G27" s="79"/>
      <c r="H27" s="93" t="s">
        <v>538</v>
      </c>
      <c r="I27" s="81" t="s">
        <v>81</v>
      </c>
      <c r="J27" s="71"/>
      <c r="K27" s="71"/>
      <c r="L27" s="71"/>
      <c r="M27" s="71"/>
      <c r="N27" s="71"/>
      <c r="O27" s="71"/>
      <c r="P27" s="71"/>
      <c r="Q27" s="71"/>
      <c r="R27" s="71"/>
      <c r="S27" s="71"/>
      <c r="T27" s="71"/>
      <c r="U27" s="71"/>
      <c r="V27" s="71"/>
      <c r="W27" s="71"/>
      <c r="X27" s="71"/>
      <c r="Y27" s="71"/>
      <c r="Z27" s="71"/>
    </row>
    <row r="28" spans="1:26" ht="14.25" customHeight="1">
      <c r="A28" s="77">
        <f>A27+1</f>
        <v>16</v>
      </c>
      <c r="B28" s="80" t="s">
        <v>34</v>
      </c>
      <c r="C28" s="74"/>
      <c r="D28" s="75"/>
      <c r="E28" s="79"/>
      <c r="F28" s="79"/>
      <c r="G28" s="79"/>
      <c r="H28" s="81" t="s">
        <v>539</v>
      </c>
      <c r="I28" s="81" t="s">
        <v>77</v>
      </c>
      <c r="J28" s="71"/>
      <c r="K28" s="71"/>
      <c r="L28" s="71"/>
      <c r="M28" s="71"/>
      <c r="N28" s="71"/>
      <c r="O28" s="71"/>
      <c r="P28" s="71"/>
      <c r="Q28" s="71"/>
      <c r="R28" s="71"/>
      <c r="S28" s="71"/>
      <c r="T28" s="71"/>
      <c r="U28" s="71"/>
      <c r="V28" s="71"/>
      <c r="W28" s="71"/>
      <c r="X28" s="71"/>
      <c r="Y28" s="71"/>
      <c r="Z28" s="71"/>
    </row>
    <row r="29" spans="1:26" ht="43.5" customHeight="1">
      <c r="A29" s="90"/>
      <c r="B29" s="79" t="s">
        <v>35</v>
      </c>
      <c r="C29" s="74" t="s">
        <v>494</v>
      </c>
      <c r="D29" s="75" t="s">
        <v>495</v>
      </c>
      <c r="E29" s="79" t="s">
        <v>540</v>
      </c>
      <c r="F29" s="79" t="s">
        <v>502</v>
      </c>
      <c r="G29" s="79" t="s">
        <v>541</v>
      </c>
      <c r="H29" s="79" t="s">
        <v>499</v>
      </c>
      <c r="I29" s="81" t="s">
        <v>542</v>
      </c>
      <c r="J29" s="71"/>
      <c r="K29" s="71"/>
      <c r="L29" s="71"/>
      <c r="M29" s="71"/>
      <c r="N29" s="71"/>
      <c r="O29" s="71"/>
      <c r="P29" s="71"/>
      <c r="Q29" s="71"/>
      <c r="R29" s="71"/>
      <c r="S29" s="71"/>
      <c r="T29" s="71"/>
      <c r="U29" s="71"/>
      <c r="V29" s="71"/>
      <c r="W29" s="71"/>
      <c r="X29" s="71"/>
      <c r="Y29" s="71"/>
      <c r="Z29" s="71"/>
    </row>
    <row r="30" spans="1:26" ht="14.25" customHeight="1">
      <c r="A30" s="90"/>
      <c r="B30" s="79" t="s">
        <v>36</v>
      </c>
      <c r="C30" s="74" t="s">
        <v>494</v>
      </c>
      <c r="D30" s="75" t="s">
        <v>495</v>
      </c>
      <c r="E30" s="79" t="s">
        <v>543</v>
      </c>
      <c r="F30" s="79" t="s">
        <v>502</v>
      </c>
      <c r="G30" s="79" t="s">
        <v>541</v>
      </c>
      <c r="H30" s="79" t="s">
        <v>499</v>
      </c>
      <c r="I30" s="81" t="s">
        <v>544</v>
      </c>
      <c r="J30" s="71"/>
      <c r="K30" s="71"/>
      <c r="L30" s="71"/>
      <c r="M30" s="71"/>
      <c r="N30" s="71"/>
      <c r="O30" s="71"/>
      <c r="P30" s="71"/>
      <c r="Q30" s="71"/>
      <c r="R30" s="71"/>
      <c r="S30" s="71"/>
      <c r="T30" s="71"/>
      <c r="U30" s="71"/>
      <c r="V30" s="71"/>
      <c r="W30" s="71"/>
      <c r="X30" s="71"/>
      <c r="Y30" s="71"/>
      <c r="Z30" s="71"/>
    </row>
    <row r="31" spans="1:26" ht="14.25" customHeight="1">
      <c r="A31" s="90"/>
      <c r="B31" s="79" t="s">
        <v>37</v>
      </c>
      <c r="C31" s="74" t="s">
        <v>494</v>
      </c>
      <c r="D31" s="75" t="s">
        <v>495</v>
      </c>
      <c r="E31" s="79" t="s">
        <v>545</v>
      </c>
      <c r="F31" s="79" t="s">
        <v>502</v>
      </c>
      <c r="G31" s="79" t="s">
        <v>541</v>
      </c>
      <c r="H31" s="79" t="s">
        <v>499</v>
      </c>
      <c r="I31" s="81" t="s">
        <v>546</v>
      </c>
      <c r="J31" s="71"/>
      <c r="K31" s="71"/>
      <c r="L31" s="71"/>
      <c r="M31" s="71"/>
      <c r="N31" s="71"/>
      <c r="O31" s="71"/>
      <c r="P31" s="71"/>
      <c r="Q31" s="71"/>
      <c r="R31" s="71"/>
      <c r="S31" s="71"/>
      <c r="T31" s="71"/>
      <c r="U31" s="71"/>
      <c r="V31" s="71"/>
      <c r="W31" s="71"/>
      <c r="X31" s="71"/>
      <c r="Y31" s="71"/>
      <c r="Z31" s="71"/>
    </row>
    <row r="32" spans="1:26" ht="14.25" customHeight="1">
      <c r="A32" s="90"/>
      <c r="B32" s="79" t="s">
        <v>38</v>
      </c>
      <c r="C32" s="74" t="s">
        <v>494</v>
      </c>
      <c r="D32" s="75" t="s">
        <v>495</v>
      </c>
      <c r="E32" s="79" t="s">
        <v>547</v>
      </c>
      <c r="F32" s="79" t="s">
        <v>502</v>
      </c>
      <c r="G32" s="79" t="s">
        <v>541</v>
      </c>
      <c r="H32" s="79" t="s">
        <v>499</v>
      </c>
      <c r="I32" s="81" t="s">
        <v>548</v>
      </c>
      <c r="J32" s="71"/>
      <c r="K32" s="71"/>
      <c r="L32" s="71"/>
      <c r="M32" s="71"/>
      <c r="N32" s="71"/>
      <c r="O32" s="71"/>
      <c r="P32" s="71"/>
      <c r="Q32" s="71"/>
      <c r="R32" s="71"/>
      <c r="S32" s="71"/>
      <c r="T32" s="71"/>
      <c r="U32" s="71"/>
      <c r="V32" s="71"/>
      <c r="W32" s="71"/>
      <c r="X32" s="71"/>
      <c r="Y32" s="71"/>
      <c r="Z32" s="71"/>
    </row>
    <row r="33" spans="1:26" ht="45" customHeight="1">
      <c r="A33" s="77">
        <f>A28+1</f>
        <v>17</v>
      </c>
      <c r="B33" s="80" t="s">
        <v>39</v>
      </c>
      <c r="C33" s="74" t="s">
        <v>480</v>
      </c>
      <c r="D33" s="75" t="s">
        <v>495</v>
      </c>
      <c r="E33" s="79" t="s">
        <v>549</v>
      </c>
      <c r="F33" s="79" t="s">
        <v>502</v>
      </c>
      <c r="G33" s="79" t="s">
        <v>550</v>
      </c>
      <c r="H33" s="79" t="s">
        <v>499</v>
      </c>
      <c r="I33" s="81" t="s">
        <v>104</v>
      </c>
      <c r="J33" s="71"/>
      <c r="K33" s="71"/>
      <c r="L33" s="71"/>
      <c r="M33" s="71"/>
      <c r="N33" s="71"/>
      <c r="O33" s="71"/>
      <c r="P33" s="71"/>
      <c r="Q33" s="71"/>
      <c r="R33" s="71"/>
      <c r="S33" s="71"/>
      <c r="T33" s="71"/>
      <c r="U33" s="71"/>
      <c r="V33" s="71"/>
      <c r="W33" s="71"/>
      <c r="X33" s="71"/>
      <c r="Y33" s="71"/>
      <c r="Z33" s="71"/>
    </row>
    <row r="34" spans="1:26" ht="14.25" customHeight="1">
      <c r="A34" s="77">
        <f>A33+1</f>
        <v>18</v>
      </c>
      <c r="B34" s="80" t="s">
        <v>551</v>
      </c>
      <c r="C34" s="74"/>
      <c r="D34" s="75"/>
      <c r="E34" s="82" t="s">
        <v>552</v>
      </c>
      <c r="F34" s="79"/>
      <c r="G34" s="79"/>
      <c r="H34" s="81" t="s">
        <v>553</v>
      </c>
      <c r="I34" s="81" t="s">
        <v>278</v>
      </c>
      <c r="J34" s="71"/>
      <c r="K34" s="71"/>
      <c r="L34" s="71"/>
      <c r="M34" s="71"/>
      <c r="N34" s="71"/>
      <c r="O34" s="71"/>
      <c r="P34" s="71"/>
      <c r="Q34" s="71"/>
      <c r="R34" s="71"/>
      <c r="S34" s="71"/>
      <c r="T34" s="71"/>
      <c r="U34" s="71"/>
      <c r="V34" s="71"/>
      <c r="W34" s="71"/>
      <c r="X34" s="71"/>
      <c r="Y34" s="71"/>
      <c r="Z34" s="71"/>
    </row>
    <row r="35" spans="1:26" ht="14.25" customHeight="1">
      <c r="A35" s="77"/>
      <c r="B35" s="80"/>
      <c r="C35" s="74"/>
      <c r="D35" s="75"/>
      <c r="E35" s="79"/>
      <c r="F35" s="79"/>
      <c r="G35" s="79"/>
      <c r="H35" s="81"/>
      <c r="I35" s="81"/>
      <c r="J35" s="71"/>
      <c r="K35" s="71"/>
      <c r="L35" s="71"/>
      <c r="M35" s="71"/>
      <c r="N35" s="71"/>
      <c r="O35" s="71"/>
      <c r="P35" s="71"/>
      <c r="Q35" s="71"/>
      <c r="R35" s="71"/>
      <c r="S35" s="71"/>
      <c r="T35" s="71"/>
      <c r="U35" s="71"/>
      <c r="V35" s="71"/>
      <c r="W35" s="71"/>
      <c r="X35" s="71"/>
      <c r="Y35" s="71"/>
      <c r="Z35" s="71"/>
    </row>
    <row r="36" spans="1:26" ht="14.25" customHeight="1">
      <c r="A36" s="77">
        <f>A34+1</f>
        <v>19</v>
      </c>
      <c r="B36" s="80" t="s">
        <v>554</v>
      </c>
      <c r="C36" s="74"/>
      <c r="D36" s="75"/>
      <c r="E36" s="82" t="s">
        <v>555</v>
      </c>
      <c r="F36" s="79"/>
      <c r="G36" s="79"/>
      <c r="H36" s="81" t="s">
        <v>556</v>
      </c>
      <c r="I36" s="81" t="s">
        <v>112</v>
      </c>
      <c r="J36" s="71"/>
      <c r="K36" s="71"/>
      <c r="L36" s="71"/>
      <c r="M36" s="71"/>
      <c r="N36" s="71"/>
      <c r="O36" s="71"/>
      <c r="P36" s="71"/>
      <c r="Q36" s="71"/>
      <c r="R36" s="71"/>
      <c r="S36" s="71"/>
      <c r="T36" s="71"/>
      <c r="U36" s="71"/>
      <c r="V36" s="71"/>
      <c r="W36" s="71"/>
      <c r="X36" s="71"/>
      <c r="Y36" s="71"/>
      <c r="Z36" s="71"/>
    </row>
    <row r="37" spans="1:26" ht="14.25" customHeight="1">
      <c r="A37" s="77">
        <f t="shared" ref="A37:A45" si="1">A36+1</f>
        <v>20</v>
      </c>
      <c r="B37" s="80" t="s">
        <v>557</v>
      </c>
      <c r="C37" s="74" t="s">
        <v>457</v>
      </c>
      <c r="D37" s="75" t="s">
        <v>458</v>
      </c>
      <c r="E37" s="79" t="s">
        <v>666</v>
      </c>
      <c r="F37" s="79" t="s">
        <v>558</v>
      </c>
      <c r="G37" s="79"/>
      <c r="H37" s="79"/>
      <c r="I37" s="81" t="s">
        <v>559</v>
      </c>
      <c r="J37" s="71"/>
      <c r="K37" s="71"/>
      <c r="L37" s="71"/>
      <c r="M37" s="71"/>
      <c r="N37" s="71"/>
      <c r="O37" s="71"/>
      <c r="P37" s="71"/>
      <c r="Q37" s="71"/>
      <c r="R37" s="71"/>
      <c r="S37" s="71"/>
      <c r="T37" s="71"/>
      <c r="U37" s="71"/>
      <c r="V37" s="71"/>
      <c r="W37" s="71"/>
      <c r="X37" s="71"/>
      <c r="Y37" s="71"/>
      <c r="Z37" s="71"/>
    </row>
    <row r="38" spans="1:26" ht="14.25" customHeight="1">
      <c r="A38" s="77">
        <f t="shared" si="1"/>
        <v>21</v>
      </c>
      <c r="B38" s="80" t="s">
        <v>560</v>
      </c>
      <c r="C38" s="80"/>
      <c r="D38" s="94"/>
      <c r="E38" s="79" t="s">
        <v>561</v>
      </c>
      <c r="F38" s="79"/>
      <c r="G38" s="79"/>
      <c r="H38" s="93" t="s">
        <v>562</v>
      </c>
      <c r="I38" s="80"/>
      <c r="J38" s="71"/>
      <c r="K38" s="71"/>
      <c r="L38" s="71"/>
      <c r="M38" s="71"/>
      <c r="N38" s="71"/>
      <c r="O38" s="71"/>
      <c r="P38" s="71"/>
      <c r="Q38" s="71"/>
      <c r="R38" s="71"/>
      <c r="S38" s="71"/>
      <c r="T38" s="71"/>
      <c r="U38" s="71"/>
      <c r="V38" s="71"/>
      <c r="W38" s="71"/>
      <c r="X38" s="71"/>
      <c r="Y38" s="71"/>
      <c r="Z38" s="71"/>
    </row>
    <row r="39" spans="1:26" ht="14.25" customHeight="1">
      <c r="A39" s="77">
        <f t="shared" si="1"/>
        <v>22</v>
      </c>
      <c r="B39" s="80" t="s">
        <v>563</v>
      </c>
      <c r="C39" s="80"/>
      <c r="D39" s="94"/>
      <c r="E39" s="79" t="s">
        <v>564</v>
      </c>
      <c r="F39" s="79"/>
      <c r="G39" s="79"/>
      <c r="H39" s="81" t="s">
        <v>565</v>
      </c>
      <c r="I39" s="80"/>
      <c r="J39" s="71"/>
      <c r="K39" s="71"/>
      <c r="L39" s="71"/>
      <c r="M39" s="71"/>
      <c r="N39" s="71"/>
      <c r="O39" s="71"/>
      <c r="P39" s="71"/>
      <c r="Q39" s="71"/>
      <c r="R39" s="71"/>
      <c r="S39" s="71"/>
      <c r="T39" s="71"/>
      <c r="U39" s="71"/>
      <c r="V39" s="71"/>
      <c r="W39" s="71"/>
      <c r="X39" s="71"/>
      <c r="Y39" s="71"/>
      <c r="Z39" s="71"/>
    </row>
    <row r="40" spans="1:26" ht="14.25" customHeight="1">
      <c r="A40" s="77">
        <f t="shared" si="1"/>
        <v>23</v>
      </c>
      <c r="B40" s="80" t="s">
        <v>566</v>
      </c>
      <c r="C40" s="80"/>
      <c r="D40" s="94"/>
      <c r="E40" s="79" t="s">
        <v>567</v>
      </c>
      <c r="F40" s="79"/>
      <c r="G40" s="79"/>
      <c r="H40" s="81" t="s">
        <v>568</v>
      </c>
      <c r="I40" s="80"/>
      <c r="J40" s="71"/>
      <c r="K40" s="71"/>
      <c r="L40" s="71"/>
      <c r="M40" s="71"/>
      <c r="N40" s="71"/>
      <c r="O40" s="71"/>
      <c r="P40" s="71"/>
      <c r="Q40" s="71"/>
      <c r="R40" s="71"/>
      <c r="S40" s="71"/>
      <c r="T40" s="71"/>
      <c r="U40" s="71"/>
      <c r="V40" s="71"/>
      <c r="W40" s="71"/>
      <c r="X40" s="71"/>
      <c r="Y40" s="71"/>
      <c r="Z40" s="71"/>
    </row>
    <row r="41" spans="1:26" ht="14.25" customHeight="1">
      <c r="A41" s="77">
        <f t="shared" si="1"/>
        <v>24</v>
      </c>
      <c r="B41" s="80" t="s">
        <v>569</v>
      </c>
      <c r="C41" s="80"/>
      <c r="D41" s="94"/>
      <c r="E41" s="79" t="s">
        <v>570</v>
      </c>
      <c r="F41" s="79"/>
      <c r="G41" s="79"/>
      <c r="H41" s="81" t="s">
        <v>571</v>
      </c>
      <c r="I41" s="80"/>
      <c r="J41" s="71"/>
      <c r="K41" s="71"/>
      <c r="L41" s="71"/>
      <c r="M41" s="71"/>
      <c r="N41" s="71"/>
      <c r="O41" s="71"/>
      <c r="P41" s="71"/>
      <c r="Q41" s="71"/>
      <c r="R41" s="71"/>
      <c r="S41" s="71"/>
      <c r="T41" s="71"/>
      <c r="U41" s="71"/>
      <c r="V41" s="71"/>
      <c r="W41" s="71"/>
      <c r="X41" s="71"/>
      <c r="Y41" s="71"/>
      <c r="Z41" s="71"/>
    </row>
    <row r="42" spans="1:26" ht="14.25" customHeight="1">
      <c r="A42" s="77">
        <f t="shared" si="1"/>
        <v>25</v>
      </c>
      <c r="B42" s="80" t="s">
        <v>572</v>
      </c>
      <c r="C42" s="81"/>
      <c r="D42" s="83"/>
      <c r="E42" s="79" t="s">
        <v>573</v>
      </c>
      <c r="F42" s="79" t="s">
        <v>574</v>
      </c>
      <c r="G42" s="79"/>
      <c r="H42" s="79"/>
      <c r="I42" s="81"/>
      <c r="J42" s="71"/>
      <c r="K42" s="71"/>
      <c r="L42" s="71"/>
      <c r="M42" s="71"/>
      <c r="N42" s="71"/>
      <c r="O42" s="71"/>
      <c r="P42" s="71"/>
      <c r="Q42" s="71"/>
      <c r="R42" s="71"/>
      <c r="S42" s="71"/>
      <c r="T42" s="71"/>
      <c r="U42" s="71"/>
      <c r="V42" s="71"/>
      <c r="W42" s="71"/>
      <c r="X42" s="71"/>
      <c r="Y42" s="71"/>
      <c r="Z42" s="71"/>
    </row>
    <row r="43" spans="1:26" ht="14.25" customHeight="1">
      <c r="A43" s="85">
        <f t="shared" si="1"/>
        <v>26</v>
      </c>
      <c r="B43" s="86" t="s">
        <v>575</v>
      </c>
      <c r="C43" s="95"/>
      <c r="D43" s="96"/>
      <c r="E43" s="86" t="s">
        <v>576</v>
      </c>
      <c r="F43" s="95"/>
      <c r="G43" s="95"/>
      <c r="H43" s="95"/>
      <c r="I43" s="95"/>
      <c r="J43" s="71"/>
      <c r="K43" s="71"/>
      <c r="L43" s="71"/>
      <c r="M43" s="71"/>
      <c r="N43" s="71"/>
      <c r="O43" s="71"/>
      <c r="P43" s="71"/>
      <c r="Q43" s="71"/>
      <c r="R43" s="71"/>
      <c r="S43" s="71"/>
      <c r="T43" s="71"/>
      <c r="U43" s="71"/>
      <c r="V43" s="71"/>
      <c r="W43" s="71"/>
      <c r="X43" s="71"/>
      <c r="Y43" s="71"/>
      <c r="Z43" s="71"/>
    </row>
    <row r="44" spans="1:26" ht="14.25" customHeight="1">
      <c r="A44" s="77">
        <f t="shared" si="1"/>
        <v>27</v>
      </c>
      <c r="B44" s="80" t="s">
        <v>577</v>
      </c>
      <c r="C44" s="84"/>
      <c r="D44" s="97"/>
      <c r="E44" s="79" t="s">
        <v>578</v>
      </c>
      <c r="F44" s="84"/>
      <c r="G44" s="84"/>
      <c r="H44" s="84"/>
      <c r="I44" s="84"/>
      <c r="J44" s="71"/>
      <c r="K44" s="71"/>
      <c r="L44" s="71"/>
      <c r="M44" s="71"/>
      <c r="N44" s="71"/>
      <c r="O44" s="71"/>
      <c r="P44" s="71"/>
      <c r="Q44" s="71"/>
      <c r="R44" s="71"/>
      <c r="S44" s="71"/>
      <c r="T44" s="71"/>
      <c r="U44" s="71"/>
      <c r="V44" s="71"/>
      <c r="W44" s="71"/>
      <c r="X44" s="71"/>
      <c r="Y44" s="71"/>
      <c r="Z44" s="71"/>
    </row>
    <row r="45" spans="1:26" ht="14.25" customHeight="1">
      <c r="A45" s="98">
        <f t="shared" si="1"/>
        <v>28</v>
      </c>
      <c r="B45" s="99" t="s">
        <v>579</v>
      </c>
      <c r="C45" s="100"/>
      <c r="D45" s="101"/>
      <c r="E45" s="99" t="s">
        <v>580</v>
      </c>
      <c r="F45" s="100"/>
      <c r="G45" s="100"/>
      <c r="H45" s="100"/>
      <c r="I45" s="100"/>
      <c r="J45" s="71"/>
      <c r="K45" s="71"/>
      <c r="L45" s="71"/>
      <c r="M45" s="71"/>
      <c r="N45" s="71"/>
      <c r="O45" s="71"/>
      <c r="P45" s="71"/>
      <c r="Q45" s="71"/>
      <c r="R45" s="71"/>
      <c r="S45" s="71"/>
      <c r="T45" s="71"/>
      <c r="U45" s="71"/>
      <c r="V45" s="71"/>
      <c r="W45" s="71"/>
      <c r="X45" s="71"/>
      <c r="Y45" s="71"/>
      <c r="Z45" s="71"/>
    </row>
    <row r="46" spans="1:2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spans="1:26"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spans="1:26" ht="14.25" customHeight="1">
      <c r="A48" s="102" t="s">
        <v>581</v>
      </c>
      <c r="B48" s="102" t="s">
        <v>582</v>
      </c>
      <c r="C48" s="71"/>
      <c r="D48" s="71"/>
      <c r="E48" s="71"/>
      <c r="F48" s="71"/>
      <c r="G48" s="71"/>
      <c r="H48" s="71"/>
      <c r="I48" s="71"/>
      <c r="J48" s="71"/>
      <c r="K48" s="71"/>
      <c r="L48" s="71"/>
      <c r="M48" s="71"/>
      <c r="N48" s="71"/>
      <c r="O48" s="71"/>
      <c r="P48" s="71"/>
      <c r="Q48" s="71"/>
      <c r="R48" s="71"/>
      <c r="S48" s="71"/>
      <c r="T48" s="71"/>
      <c r="U48" s="71"/>
      <c r="V48" s="71"/>
      <c r="W48" s="71"/>
      <c r="X48" s="71"/>
      <c r="Y48" s="71"/>
      <c r="Z48" s="71"/>
    </row>
    <row r="49" spans="1:26" ht="14.25" customHeight="1">
      <c r="A49" s="103" t="s">
        <v>583</v>
      </c>
      <c r="B49" s="104"/>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ht="14.25" customHeight="1">
      <c r="A50" s="103" t="s">
        <v>584</v>
      </c>
      <c r="B50" s="105" t="s">
        <v>585</v>
      </c>
      <c r="C50" s="71"/>
      <c r="D50" s="71"/>
      <c r="E50" s="71"/>
      <c r="F50" s="71"/>
      <c r="G50" s="71"/>
      <c r="H50" s="71"/>
      <c r="I50" s="71"/>
      <c r="J50" s="71"/>
      <c r="K50" s="71"/>
      <c r="L50" s="71"/>
      <c r="M50" s="71"/>
      <c r="N50" s="71"/>
      <c r="O50" s="71"/>
      <c r="P50" s="71"/>
      <c r="Q50" s="71"/>
      <c r="R50" s="71"/>
      <c r="S50" s="71"/>
      <c r="T50" s="71"/>
      <c r="U50" s="71"/>
      <c r="V50" s="71"/>
      <c r="W50" s="71"/>
      <c r="X50" s="71"/>
      <c r="Y50" s="71"/>
      <c r="Z50" s="71"/>
    </row>
    <row r="51" spans="1:26" ht="14.25" customHeight="1">
      <c r="A51" s="106" t="s">
        <v>586</v>
      </c>
      <c r="B51" s="107" t="s">
        <v>587</v>
      </c>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ht="14.25" customHeight="1">
      <c r="A52" s="106" t="s">
        <v>588</v>
      </c>
      <c r="B52" s="104" t="s">
        <v>589</v>
      </c>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ht="14.25" customHeight="1">
      <c r="A53" s="106" t="s">
        <v>590</v>
      </c>
      <c r="B53" s="104" t="s">
        <v>591</v>
      </c>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ht="14.25" customHeight="1">
      <c r="A54" s="106" t="s">
        <v>592</v>
      </c>
      <c r="B54" s="107" t="s">
        <v>587</v>
      </c>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ht="14.25" customHeight="1">
      <c r="A55" s="106" t="s">
        <v>593</v>
      </c>
      <c r="B55" s="104" t="s">
        <v>594</v>
      </c>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ht="14.25" customHeight="1">
      <c r="A56" s="103" t="s">
        <v>595</v>
      </c>
      <c r="B56" s="105" t="s">
        <v>596</v>
      </c>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ht="14.25" customHeight="1">
      <c r="A57" s="106" t="s">
        <v>597</v>
      </c>
      <c r="B57" s="107" t="s">
        <v>598</v>
      </c>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ht="14.25" customHeight="1">
      <c r="A58" s="106" t="s">
        <v>599</v>
      </c>
      <c r="B58" s="79" t="s">
        <v>525</v>
      </c>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ht="14.25" customHeight="1">
      <c r="A59" s="106" t="s">
        <v>600</v>
      </c>
      <c r="B59" s="79" t="s">
        <v>522</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ht="14.25" customHeight="1">
      <c r="A60" s="106" t="s">
        <v>601</v>
      </c>
      <c r="B60" s="79" t="s">
        <v>517</v>
      </c>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ht="14.25" customHeight="1">
      <c r="A61" s="103" t="s">
        <v>602</v>
      </c>
      <c r="B61" s="105" t="s">
        <v>603</v>
      </c>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ht="14.25" customHeight="1">
      <c r="A62" s="106" t="s">
        <v>604</v>
      </c>
      <c r="B62" s="104" t="s">
        <v>605</v>
      </c>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ht="14.25" customHeight="1">
      <c r="A63" s="106" t="s">
        <v>606</v>
      </c>
      <c r="B63" s="104" t="s">
        <v>605</v>
      </c>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ht="14.25" customHeight="1">
      <c r="A64" s="106" t="s">
        <v>607</v>
      </c>
      <c r="B64" s="104" t="s">
        <v>608</v>
      </c>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ht="14.25" customHeight="1">
      <c r="A65" s="106" t="s">
        <v>609</v>
      </c>
      <c r="B65" s="104" t="s">
        <v>608</v>
      </c>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ht="14.25" customHeight="1">
      <c r="A66" s="106" t="s">
        <v>610</v>
      </c>
      <c r="B66" s="104" t="s">
        <v>608</v>
      </c>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ht="14.25" customHeight="1">
      <c r="A67" s="106" t="s">
        <v>611</v>
      </c>
      <c r="B67" s="104" t="s">
        <v>608</v>
      </c>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ht="14.25" customHeight="1">
      <c r="A68" s="103" t="s">
        <v>33</v>
      </c>
      <c r="B68" s="105" t="s">
        <v>612</v>
      </c>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ht="14.25" customHeight="1">
      <c r="A69" s="103" t="s">
        <v>34</v>
      </c>
      <c r="B69" s="105" t="s">
        <v>613</v>
      </c>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ht="14.25" customHeight="1">
      <c r="A70" s="106" t="s">
        <v>614</v>
      </c>
      <c r="B70" s="106" t="s">
        <v>615</v>
      </c>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ht="14.25" customHeight="1">
      <c r="A71" s="106" t="s">
        <v>616</v>
      </c>
      <c r="B71" s="106" t="s">
        <v>615</v>
      </c>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ht="14.25" customHeight="1">
      <c r="A72" s="106" t="s">
        <v>617</v>
      </c>
      <c r="B72" s="106" t="s">
        <v>615</v>
      </c>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ht="14.25" customHeight="1">
      <c r="A73" s="106" t="s">
        <v>618</v>
      </c>
      <c r="B73" s="106" t="s">
        <v>615</v>
      </c>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ht="14.25" customHeight="1">
      <c r="A74" s="103" t="s">
        <v>39</v>
      </c>
      <c r="B74" s="104" t="s">
        <v>619</v>
      </c>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ht="14.2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ht="14.2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ht="14.2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ht="14.2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ht="14.2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ht="14.2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ht="14.2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ht="14.2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ht="14.2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ht="14.2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ht="14.2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ht="14.2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ht="14.2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ht="14.2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ht="14.2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ht="14.2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ht="14.2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ht="14.2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ht="14.2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ht="14.2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ht="14.2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ht="14.2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ht="14.2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ht="14.2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ht="14.2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ht="14.2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ht="14.2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ht="14.2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ht="14.2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ht="14.2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ht="14.2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ht="14.2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ht="14.2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ht="14.2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ht="14.2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ht="14.2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ht="14.2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ht="14.2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ht="14.2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ht="14.2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ht="14.2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ht="14.2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ht="14.2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ht="14.2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ht="14.2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ht="14.2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ht="14.2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ht="14.2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ht="14.2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ht="14.2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ht="14.2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ht="14.2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ht="14.2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ht="14.2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ht="14.2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ht="14.2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ht="14.2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ht="14.2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ht="14.2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ht="14.2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ht="14.2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ht="14.2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ht="14.2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ht="14.2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spans="1:26"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49"/>
  <sheetViews>
    <sheetView topLeftCell="A10" workbookViewId="0">
      <selection activeCell="C25" sqref="C25"/>
    </sheetView>
  </sheetViews>
  <sheetFormatPr defaultColWidth="14.44140625" defaultRowHeight="15" customHeight="1"/>
  <cols>
    <col min="1" max="1" width="25.5546875" customWidth="1"/>
    <col min="2" max="2" width="72.44140625" customWidth="1"/>
    <col min="3" max="3" width="82.44140625" customWidth="1"/>
  </cols>
  <sheetData>
    <row r="1" spans="1:3" ht="15" customHeight="1">
      <c r="A1" s="108"/>
      <c r="B1" s="109" t="s">
        <v>620</v>
      </c>
      <c r="C1" s="110" t="s">
        <v>621</v>
      </c>
    </row>
    <row r="2" spans="1:3" ht="15" customHeight="1">
      <c r="A2" s="159" t="s">
        <v>622</v>
      </c>
      <c r="B2" s="111" t="s">
        <v>623</v>
      </c>
      <c r="C2" s="112" t="s">
        <v>624</v>
      </c>
    </row>
    <row r="3" spans="1:3" ht="15" customHeight="1">
      <c r="A3" s="160"/>
      <c r="B3" s="111" t="s">
        <v>21</v>
      </c>
      <c r="C3" s="112" t="s">
        <v>625</v>
      </c>
    </row>
    <row r="4" spans="1:3" ht="15" customHeight="1">
      <c r="A4" s="160"/>
      <c r="B4" s="111" t="s">
        <v>626</v>
      </c>
      <c r="C4" s="112" t="s">
        <v>627</v>
      </c>
    </row>
    <row r="5" spans="1:3" ht="15" customHeight="1">
      <c r="A5" s="160"/>
      <c r="B5" s="111" t="s">
        <v>25</v>
      </c>
      <c r="C5" s="112" t="s">
        <v>628</v>
      </c>
    </row>
    <row r="6" spans="1:3" ht="15" customHeight="1">
      <c r="A6" s="160"/>
      <c r="B6" s="111" t="s">
        <v>27</v>
      </c>
      <c r="C6" s="112" t="s">
        <v>629</v>
      </c>
    </row>
    <row r="7" spans="1:3" ht="15" customHeight="1">
      <c r="A7" s="161"/>
      <c r="B7" s="111" t="s">
        <v>560</v>
      </c>
      <c r="C7" s="112" t="s">
        <v>662</v>
      </c>
    </row>
    <row r="8" spans="1:3" ht="15" customHeight="1">
      <c r="A8" s="162" t="s">
        <v>630</v>
      </c>
      <c r="B8" s="111" t="s">
        <v>269</v>
      </c>
      <c r="C8" s="112" t="s">
        <v>631</v>
      </c>
    </row>
    <row r="9" spans="1:3" ht="15" customHeight="1">
      <c r="A9" s="161"/>
      <c r="B9" s="111" t="s">
        <v>374</v>
      </c>
      <c r="C9" s="112" t="s">
        <v>632</v>
      </c>
    </row>
    <row r="10" spans="1:3" ht="15" customHeight="1">
      <c r="A10" s="162" t="s">
        <v>633</v>
      </c>
      <c r="B10" s="111" t="s">
        <v>457</v>
      </c>
      <c r="C10" s="112" t="s">
        <v>634</v>
      </c>
    </row>
    <row r="11" spans="1:3" ht="15" customHeight="1">
      <c r="A11" s="160"/>
      <c r="B11" s="111" t="s">
        <v>635</v>
      </c>
      <c r="C11" s="112" t="s">
        <v>665</v>
      </c>
    </row>
    <row r="12" spans="1:3" ht="15" customHeight="1">
      <c r="A12" s="160"/>
      <c r="B12" s="111" t="s">
        <v>636</v>
      </c>
      <c r="C12" s="112" t="s">
        <v>663</v>
      </c>
    </row>
    <row r="13" spans="1:3" ht="15" customHeight="1">
      <c r="A13" s="160"/>
      <c r="B13" s="111" t="s">
        <v>378</v>
      </c>
      <c r="C13" s="113" t="s">
        <v>637</v>
      </c>
    </row>
    <row r="14" spans="1:3" ht="15" customHeight="1">
      <c r="A14" s="160"/>
      <c r="B14" s="111" t="s">
        <v>471</v>
      </c>
      <c r="C14" s="112" t="s">
        <v>638</v>
      </c>
    </row>
    <row r="15" spans="1:3" ht="15" customHeight="1">
      <c r="A15" s="160"/>
      <c r="B15" s="114" t="s">
        <v>639</v>
      </c>
      <c r="C15" s="113" t="s">
        <v>640</v>
      </c>
    </row>
    <row r="16" spans="1:3" ht="15" customHeight="1">
      <c r="A16" s="160"/>
      <c r="B16" s="111" t="s">
        <v>641</v>
      </c>
      <c r="C16" s="112" t="s">
        <v>642</v>
      </c>
    </row>
    <row r="17" spans="1:3" ht="15" customHeight="1">
      <c r="A17" s="160"/>
      <c r="B17" s="111" t="s">
        <v>643</v>
      </c>
      <c r="C17" s="112" t="s">
        <v>644</v>
      </c>
    </row>
    <row r="18" spans="1:3" ht="15" customHeight="1">
      <c r="A18" s="160"/>
      <c r="B18" s="111" t="s">
        <v>645</v>
      </c>
      <c r="C18" s="112" t="s">
        <v>646</v>
      </c>
    </row>
    <row r="19" spans="1:3" ht="15" customHeight="1">
      <c r="A19" s="160"/>
      <c r="B19" s="111" t="s">
        <v>647</v>
      </c>
      <c r="C19" s="112" t="s">
        <v>648</v>
      </c>
    </row>
    <row r="20" spans="1:3" ht="15" customHeight="1">
      <c r="A20" s="160"/>
      <c r="B20" s="111" t="s">
        <v>649</v>
      </c>
      <c r="C20" s="112" t="s">
        <v>650</v>
      </c>
    </row>
    <row r="21" spans="1:3" ht="15" customHeight="1">
      <c r="A21" s="159" t="s">
        <v>651</v>
      </c>
      <c r="B21" s="111" t="s">
        <v>652</v>
      </c>
      <c r="C21" s="112" t="s">
        <v>653</v>
      </c>
    </row>
    <row r="22" spans="1:3" ht="15" customHeight="1">
      <c r="A22" s="160"/>
      <c r="B22" s="111" t="s">
        <v>654</v>
      </c>
      <c r="C22" s="112" t="s">
        <v>655</v>
      </c>
    </row>
    <row r="23" spans="1:3" ht="15" customHeight="1">
      <c r="A23" s="160"/>
      <c r="B23" s="111" t="s">
        <v>656</v>
      </c>
      <c r="C23" s="112" t="s">
        <v>657</v>
      </c>
    </row>
    <row r="24" spans="1:3" ht="15" customHeight="1">
      <c r="A24" s="160"/>
      <c r="B24" s="111" t="s">
        <v>658</v>
      </c>
      <c r="C24" s="112" t="s">
        <v>659</v>
      </c>
    </row>
    <row r="25" spans="1:3" ht="43.2">
      <c r="A25" s="115" t="s">
        <v>660</v>
      </c>
      <c r="B25" s="34" t="s">
        <v>60</v>
      </c>
      <c r="C25" s="116" t="s">
        <v>661</v>
      </c>
    </row>
    <row r="28" spans="1:3" ht="15" customHeight="1">
      <c r="B28" s="34" t="s">
        <v>664</v>
      </c>
    </row>
    <row r="32" spans="1:3" ht="15" customHeight="1">
      <c r="B32" s="133"/>
    </row>
    <row r="33" spans="2:3" ht="15" customHeight="1">
      <c r="B33" s="134"/>
      <c r="C33" s="126"/>
    </row>
    <row r="34" spans="2:3" ht="15" customHeight="1">
      <c r="B34" s="133"/>
      <c r="C34" s="126"/>
    </row>
    <row r="35" spans="2:3" ht="15" customHeight="1">
      <c r="B35" s="133"/>
      <c r="C35" s="126"/>
    </row>
    <row r="36" spans="2:3" ht="15" customHeight="1">
      <c r="B36" s="135"/>
      <c r="C36" s="126"/>
    </row>
    <row r="37" spans="2:3" ht="15" customHeight="1">
      <c r="B37" s="135"/>
      <c r="C37" s="126"/>
    </row>
    <row r="38" spans="2:3" ht="15" customHeight="1">
      <c r="B38" s="133"/>
      <c r="C38" s="126"/>
    </row>
    <row r="39" spans="2:3" ht="15" customHeight="1">
      <c r="B39" s="134"/>
      <c r="C39" s="126"/>
    </row>
    <row r="40" spans="2:3" ht="15" customHeight="1">
      <c r="C40" s="126"/>
    </row>
    <row r="41" spans="2:3" ht="15" customHeight="1">
      <c r="C41" s="126"/>
    </row>
    <row r="42" spans="2:3" ht="15" customHeight="1">
      <c r="B42" s="133"/>
      <c r="C42" s="126"/>
    </row>
    <row r="43" spans="2:3" ht="15" customHeight="1">
      <c r="B43" s="134"/>
      <c r="C43" s="117"/>
    </row>
    <row r="44" spans="2:3" ht="15" customHeight="1">
      <c r="B44" s="133"/>
      <c r="C44" s="117"/>
    </row>
    <row r="45" spans="2:3" ht="15" customHeight="1">
      <c r="B45" s="133"/>
      <c r="C45" s="126"/>
    </row>
    <row r="46" spans="2:3" ht="15" customHeight="1">
      <c r="B46" s="134"/>
      <c r="C46" s="126"/>
    </row>
    <row r="47" spans="2:3" ht="15" customHeight="1">
      <c r="B47" s="133"/>
      <c r="C47" s="126"/>
    </row>
    <row r="48" spans="2:3" ht="15" customHeight="1">
      <c r="B48" s="133"/>
      <c r="C48" s="126"/>
    </row>
    <row r="49" spans="2:3" ht="15" customHeight="1">
      <c r="B49" s="134"/>
      <c r="C49" s="126"/>
    </row>
  </sheetData>
  <mergeCells count="4">
    <mergeCell ref="A2:A7"/>
    <mergeCell ref="A8:A9"/>
    <mergeCell ref="A10:A20"/>
    <mergeCell ref="A21:A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BaocaoTonghop_T2</vt:lpstr>
      <vt:lpstr>BaocaoXepHangASM_T2</vt:lpstr>
      <vt:lpstr>KPI_ASM_DATA</vt:lpstr>
      <vt:lpstr>Param</vt:lpstr>
      <vt:lpstr>Mô Tả NV</vt:lpstr>
      <vt:lpstr>Từ Viết Tắt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Chinh Nguyen</cp:lastModifiedBy>
  <dcterms:created xsi:type="dcterms:W3CDTF">2015-06-05T18:17:20Z</dcterms:created>
  <dcterms:modified xsi:type="dcterms:W3CDTF">2025-10-15T03:00:44Z</dcterms:modified>
</cp:coreProperties>
</file>